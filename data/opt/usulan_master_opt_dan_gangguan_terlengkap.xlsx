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Nanangpx\Downloads\26-07-2026\"/>
    </mc:Choice>
  </mc:AlternateContent>
  <xr:revisionPtr revIDLastSave="0" documentId="13_ncr:1_{01A00A05-D7FF-49EF-AAB8-7E7023C5F27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mplate Import" sheetId="1" r:id="rId1"/>
    <sheet name="Ringkasan Komoditas &amp; Gangguan" sheetId="2" r:id="rId2"/>
  </sheets>
  <definedNames>
    <definedName name="_xlnm._FilterDatabase" localSheetId="0" hidden="1">'Template Import'!$A$1:$R$59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6" i="2" l="1"/>
  <c r="G16" i="2"/>
  <c r="F16" i="2"/>
  <c r="E16" i="2"/>
  <c r="D16" i="2"/>
  <c r="C16" i="2"/>
  <c r="H15" i="2"/>
  <c r="H14" i="2"/>
  <c r="H13" i="2"/>
  <c r="H12" i="2"/>
  <c r="H11" i="2"/>
  <c r="H10" i="2"/>
  <c r="H9" i="2"/>
  <c r="H8" i="2"/>
  <c r="H7" i="2"/>
  <c r="H6" i="2"/>
  <c r="H5" i="2"/>
</calcChain>
</file>

<file path=xl/sharedStrings.xml><?xml version="1.0" encoding="utf-8"?>
<sst xmlns="http://schemas.openxmlformats.org/spreadsheetml/2006/main" count="736" uniqueCount="280">
  <si>
    <t>nama_lokal</t>
  </si>
  <si>
    <t>nama_nasional</t>
  </si>
  <si>
    <t>jenis</t>
  </si>
  <si>
    <t>komoditas</t>
  </si>
  <si>
    <t>tanggal_ditemukan</t>
  </si>
  <si>
    <t>ciri_ciri</t>
  </si>
  <si>
    <t>kabupaten_id</t>
  </si>
  <si>
    <t>kecamatan_id</t>
  </si>
  <si>
    <t>desa_id</t>
  </si>
  <si>
    <t>alamat_lokasi</t>
  </si>
  <si>
    <t>latitude</t>
  </si>
  <si>
    <t>longitude</t>
  </si>
  <si>
    <t>bagian_terserang</t>
  </si>
  <si>
    <t>pola_gejala</t>
  </si>
  <si>
    <t>estimasi_terdampak</t>
  </si>
  <si>
    <t>satuan_terdampak</t>
  </si>
  <si>
    <t>tingkat_keyakinan</t>
  </si>
  <si>
    <t>sumber_identifikasi</t>
  </si>
  <si>
    <t>Wereng batang cokelat</t>
  </si>
  <si>
    <t>Wereng Batang Coklat</t>
  </si>
  <si>
    <t>hama</t>
  </si>
  <si>
    <t>Padi</t>
  </si>
  <si>
    <t>2026-08-24</t>
  </si>
  <si>
    <t>Serangga pengisap berwarna cokelat pada pangkal batang; dapat menyebabkan hopperburn</t>
  </si>
  <si>
    <t>Lokasi pengamatan</t>
  </si>
  <si>
    <t>Batang</t>
  </si>
  <si>
    <t>Daun menguning lalu mengering</t>
  </si>
  <si>
    <t>hektare</t>
  </si>
  <si>
    <t>Tinggi</t>
  </si>
  <si>
    <t>Referensi literatur</t>
  </si>
  <si>
    <t>Penggerek batang padi</t>
  </si>
  <si>
    <t>Penggerek Batang Padi</t>
  </si>
  <si>
    <t>Larva menggerek batang; gejala sundep pada fase vegetatif atau beluk pada malai</t>
  </si>
  <si>
    <t>Pucuk atau malai mengering</t>
  </si>
  <si>
    <t>Tikus sawah</t>
  </si>
  <si>
    <t>Tikus Sawah</t>
  </si>
  <si>
    <t>Gigitan dan potongan batang; dapat merusak persemaian hingga malai</t>
  </si>
  <si>
    <t>Potongan batang dan rumpun roboh</t>
  </si>
  <si>
    <t>Walang sangit</t>
  </si>
  <si>
    <t>Walang Sangit</t>
  </si>
  <si>
    <t>Serangga berbau khas mengisap bulir pada fase pengisian</t>
  </si>
  <si>
    <t>Bulir</t>
  </si>
  <si>
    <t>Bulir hampa atau beras berubah warna</t>
  </si>
  <si>
    <t>Ulat grayak</t>
  </si>
  <si>
    <t>Ulat Grayak</t>
  </si>
  <si>
    <t>Ulat memakan daun dan dapat menyerang malai</t>
  </si>
  <si>
    <t>Daun</t>
  </si>
  <si>
    <t>Daun berlubang atau habis termakan</t>
  </si>
  <si>
    <t>Sedang</t>
  </si>
  <si>
    <t>Belalang</t>
  </si>
  <si>
    <t>Belalang hama</t>
  </si>
  <si>
    <t>Serangga pemakan daun dengan bekas gigitan tidak beraturan</t>
  </si>
  <si>
    <t>Daun bergerigi dan berlubang</t>
  </si>
  <si>
    <t>Keong mas</t>
  </si>
  <si>
    <t>Keong Mas</t>
  </si>
  <si>
    <t>Siput bercangkang kuning keemasan memakan bibit padi muda</t>
  </si>
  <si>
    <t>Bibit terpotong dan hilang</t>
  </si>
  <si>
    <t>Siput murbai</t>
  </si>
  <si>
    <t>Siput Murbai</t>
  </si>
  <si>
    <t>Siput darat memakan jaringan daun muda</t>
  </si>
  <si>
    <t>Daun berlubang tidak beraturan</t>
  </si>
  <si>
    <t>Orong-orong</t>
  </si>
  <si>
    <t>Serangga tanah membuat lorong dan merusak akar atau pangkal tanaman</t>
  </si>
  <si>
    <t>Akar</t>
  </si>
  <si>
    <t>Tanaman layu dan mudah tercabut</t>
  </si>
  <si>
    <t>Ulat tanah</t>
  </si>
  <si>
    <t>Ulat Tanah</t>
  </si>
  <si>
    <t>Ulat aktif malam hari memotong tanaman muda di pangkal batang</t>
  </si>
  <si>
    <t>Tanaman muda terpotong dan rebah</t>
  </si>
  <si>
    <t>Lalat bibit</t>
  </si>
  <si>
    <t>Lalat Bibit</t>
  </si>
  <si>
    <t>Larva merusak titik tumbuh bibit atau tanaman muda</t>
  </si>
  <si>
    <t>Pucuk</t>
  </si>
  <si>
    <t>Pucuk menguning dan mati</t>
  </si>
  <si>
    <t>Hama putih</t>
  </si>
  <si>
    <t>Hama Putih</t>
  </si>
  <si>
    <t>Larva membuat gulungan atau kerusakan memanjang pada daun</t>
  </si>
  <si>
    <t>Daun memutih dan berlipat</t>
  </si>
  <si>
    <t>Hama putih palsu</t>
  </si>
  <si>
    <t>Hama Putih Palsu</t>
  </si>
  <si>
    <t>Serangga atau larva menyebabkan daun berwarna putih memanjang</t>
  </si>
  <si>
    <t>Daun memutih memanjang</t>
  </si>
  <si>
    <t>Wereng hijau</t>
  </si>
  <si>
    <t>Wereng Hijau</t>
  </si>
  <si>
    <t>Serangga pengisap berwarna hijau; berpotensi menularkan tungro</t>
  </si>
  <si>
    <t>Daun menguning dan pertumbuhan terhambat</t>
  </si>
  <si>
    <t>Wereng punggung putih</t>
  </si>
  <si>
    <t>Wereng Punggung Putih</t>
  </si>
  <si>
    <t>Serangga pengisap dengan punggung putih; dapat menyebabkan tanaman menguning</t>
  </si>
  <si>
    <t>Daun menguning dan tanaman mengering</t>
  </si>
  <si>
    <t>Kepinding tanah</t>
  </si>
  <si>
    <t>Kepinding Tanah</t>
  </si>
  <si>
    <t>Serangga pengisap pada pangkal batang di area lembap</t>
  </si>
  <si>
    <t>Tanaman kerdil dan menguning</t>
  </si>
  <si>
    <t>Thrips</t>
  </si>
  <si>
    <t>Serangga kecil mengisap daun muda terutama pada kondisi kering</t>
  </si>
  <si>
    <t>Daun menggulung dan berwarna keperakan</t>
  </si>
  <si>
    <t>Kutu daun</t>
  </si>
  <si>
    <t>Kutu Daun</t>
  </si>
  <si>
    <t>Serangga kecil pengisap cairan tanaman membentuk koloni</t>
  </si>
  <si>
    <t>Pengorok daun</t>
  </si>
  <si>
    <t>Pengorok Daun</t>
  </si>
  <si>
    <t>Larva membuat lorong pada jaringan daun</t>
  </si>
  <si>
    <t>Terlihat lorong putih pada daun</t>
  </si>
  <si>
    <t>Lembing batu</t>
  </si>
  <si>
    <t>Lembing Batu</t>
  </si>
  <si>
    <t>Serangga pengisap pada bulir atau malai</t>
  </si>
  <si>
    <t>Bulir hampa atau berubah warna</t>
  </si>
  <si>
    <t>Blas</t>
  </si>
  <si>
    <t>Blas (Blast)</t>
  </si>
  <si>
    <t>penyakit</t>
  </si>
  <si>
    <t>Bercak berbentuk belah ketupat berpusat abu-abu pada daun; dapat menyerang leher malai</t>
  </si>
  <si>
    <t>Bercak belah ketupat dan leher malai mengering</t>
  </si>
  <si>
    <t>Hawar daun bakteri</t>
  </si>
  <si>
    <t>Hawar Daun Bakteri</t>
  </si>
  <si>
    <t>Daun menguning dari ujung atau tepi dan berkembang menjadi hawar</t>
  </si>
  <si>
    <t>Tungro</t>
  </si>
  <si>
    <t>Daun menguning hingga jingga; tanaman kerdil dan jumlah anakan berkurang</t>
  </si>
  <si>
    <t>Daun kuning-oranye dan tanaman kerdil</t>
  </si>
  <si>
    <t>Hawar pelepah</t>
  </si>
  <si>
    <t>Hawar Pelepah</t>
  </si>
  <si>
    <t>Bercak oval kehijauan hingga cokelat pada pelepah dekat permukaan air</t>
  </si>
  <si>
    <t>Pelepah</t>
  </si>
  <si>
    <t>Bercak melebar pada pelepah</t>
  </si>
  <si>
    <t>Busuk pelepah</t>
  </si>
  <si>
    <t>Busuk Pelepah</t>
  </si>
  <si>
    <t>Pelepah membusuk dan malai sulit keluar sempurna</t>
  </si>
  <si>
    <t>Pelepah cokelat membusuk</t>
  </si>
  <si>
    <t>Busuk batang</t>
  </si>
  <si>
    <t>Busuk Batang</t>
  </si>
  <si>
    <t>Batang bagian bawah berubah cokelat kehitaman dan mudah rebah</t>
  </si>
  <si>
    <t>Batang busuk dan tanaman rebah</t>
  </si>
  <si>
    <t>Bercak cokelat</t>
  </si>
  <si>
    <t>Bercak Cokelat</t>
  </si>
  <si>
    <t>Bercak cokelat bulat hingga oval pada daun dan gabah</t>
  </si>
  <si>
    <t>Bercak cokelat tersebar</t>
  </si>
  <si>
    <t>Bercak garis cokelat</t>
  </si>
  <si>
    <t>Bercak Garis Cokelat</t>
  </si>
  <si>
    <t>Bercak sempit memanjang berwarna cokelat pada daun</t>
  </si>
  <si>
    <t>Bercak garis memanjang</t>
  </si>
  <si>
    <t>Bakteri daun bergaris</t>
  </si>
  <si>
    <t>Bakteri Daun Bergaris</t>
  </si>
  <si>
    <t>Garis transparan kekuningan pada daun yang kemudian menjadi cokelat</t>
  </si>
  <si>
    <t>Garis kuning-cokelat memanjang</t>
  </si>
  <si>
    <t>Kerdil rumput</t>
  </si>
  <si>
    <t>Kerdil Rumput</t>
  </si>
  <si>
    <t>Tanaman sangat kerdil dengan banyak anakan dan daun sempit</t>
  </si>
  <si>
    <t>Seluruh tanaman</t>
  </si>
  <si>
    <t>Anakan berlebihan dan tanaman kerdil</t>
  </si>
  <si>
    <t>Kerdil hampa</t>
  </si>
  <si>
    <t>Kerdil Hampa</t>
  </si>
  <si>
    <t>Tanaman kerdil; daun hijau tua dan malai tidak terisi sempurna</t>
  </si>
  <si>
    <t>Tanaman kerdil dan bulir hampa</t>
  </si>
  <si>
    <t>Gosong palsu</t>
  </si>
  <si>
    <t>Gosong Palsu</t>
  </si>
  <si>
    <t>Butir gabah berubah menjadi bola spora hijau kekuningan hingga gelap</t>
  </si>
  <si>
    <t>Bulir berubah menjadi massa spora</t>
  </si>
  <si>
    <t>Noda palsu</t>
  </si>
  <si>
    <t>Noda Palsu</t>
  </si>
  <si>
    <t>Bercak pada daun berupa noda kecil yang dapat menyatu</t>
  </si>
  <si>
    <t>Noda cokelat pada daun</t>
  </si>
  <si>
    <t>Gulma rumput teki</t>
  </si>
  <si>
    <t>Gulma Rumput Teki</t>
  </si>
  <si>
    <t>gulma</t>
  </si>
  <si>
    <t>Gulma berdaun sempit dengan umbi atau rimpang; bersaing memperoleh air dan hara</t>
  </si>
  <si>
    <t>Area perakaran</t>
  </si>
  <si>
    <t>Pertumbuhan gulma di antara rumpun padi</t>
  </si>
  <si>
    <t>Gulma rumput</t>
  </si>
  <si>
    <t>Gulma Rumput</t>
  </si>
  <si>
    <t>Gulma berdaun sempit tumbuh di antara tanaman dan bersaing dengan padi</t>
  </si>
  <si>
    <t>Populasi gulma menutup lahan</t>
  </si>
  <si>
    <t>Gulma daun lebar</t>
  </si>
  <si>
    <t>Gulma Daun Lebar</t>
  </si>
  <si>
    <t>Gulma berdaun lebar tumbuh di lahan padi dan bersaing dengan tanaman utama</t>
  </si>
  <si>
    <t>Populasi gulma di antara rumpun padi</t>
  </si>
  <si>
    <t>Gulma teki</t>
  </si>
  <si>
    <t>Gulma Teki</t>
  </si>
  <si>
    <t>Gulma kelompok teki dengan batang bersudut dan sistem perakaran kuat</t>
  </si>
  <si>
    <t>Cabai</t>
  </si>
  <si>
    <t>Buah</t>
  </si>
  <si>
    <t>Bulai</t>
  </si>
  <si>
    <t>Jagung</t>
  </si>
  <si>
    <t>Daun menunjukkan garis klorotik putih-kuning; dapat muncul lapisan spora di bawah daun</t>
  </si>
  <si>
    <t>Daun belang putih-kuning</t>
  </si>
  <si>
    <t>Ulat grayak fall armyworm</t>
  </si>
  <si>
    <t>Ulat memakan pucuk dan daun; terdapat kotoran larva pada corong daun</t>
  </si>
  <si>
    <t>Daun berlubang dan pucuk rusak</t>
  </si>
  <si>
    <t>Penggerek batang jagung</t>
  </si>
  <si>
    <t>Penggerek Batang Jagung</t>
  </si>
  <si>
    <t>Larva menggerek batang dan dapat merusak tongkol</t>
  </si>
  <si>
    <t>Lubang gerekan dan batang patah</t>
  </si>
  <si>
    <t>Lalat bibit jagung</t>
  </si>
  <si>
    <t>Serangan larva pada bibit menyebabkan titik tumbuh rusak</t>
  </si>
  <si>
    <t>Bibit layu dan mati</t>
  </si>
  <si>
    <t>Penyakit karat daun</t>
  </si>
  <si>
    <t>Karatan Daun</t>
  </si>
  <si>
    <t>Pustula kecil cokelat-oranye pada daun</t>
  </si>
  <si>
    <t>Bintil karat tersebar pada daun</t>
  </si>
  <si>
    <t>Busuk batang jagung</t>
  </si>
  <si>
    <t>Batang melunak atau berubah warna dan tanaman mudah rebah</t>
  </si>
  <si>
    <t>Kopi</t>
  </si>
  <si>
    <t>Jeruk</t>
  </si>
  <si>
    <t>Jangkrik</t>
  </si>
  <si>
    <t>Jangkrik Tanah</t>
  </si>
  <si>
    <t>Serangga nokturnal bersuara derik khas membuat liang tanah; memotong pangkal bibit muda.</t>
  </si>
  <si>
    <t>Bibit padi muda terpotong pada leher akar dan ditarik ke dalam liang</t>
  </si>
  <si>
    <t>Ketep</t>
  </si>
  <si>
    <t>Ngengat Gudang / Ketep</t>
  </si>
  <si>
    <t>Ngengat kecil perusak gabah/benih di gudang penyimpanan; larva membuat jaring sutra pada bulir gabah.</t>
  </si>
  <si>
    <t>Butir gabah/benih berlubang, rusak keropos, dan bergumpal terikat benang sutra</t>
  </si>
  <si>
    <t>ton</t>
  </si>
  <si>
    <t>Kupu-kupu / Gayas</t>
  </si>
  <si>
    <t>Uret / Gayas</t>
  </si>
  <si>
    <t>Larva kumbang (uret) berwarna putih melengkung di dalam tanah; memakan sistem perakaran tanaman pangan.</t>
  </si>
  <si>
    <t>Akar terputus, tanaman layu menguning dan sangat mudah dicabut</t>
  </si>
  <si>
    <t>Bawang Merah</t>
  </si>
  <si>
    <t>Kedelai</t>
  </si>
  <si>
    <t>Tomat</t>
  </si>
  <si>
    <t>Kakao</t>
  </si>
  <si>
    <t>Tebu</t>
  </si>
  <si>
    <t>Kelapa Sawit</t>
  </si>
  <si>
    <t>Burung Pipit / Emprit</t>
  </si>
  <si>
    <t>Burung Pipit (Lonchura spp.)</t>
  </si>
  <si>
    <t>Burung berukuran kecil terbang berkelompok, memakan bulir padi fase masak susu hingga matang</t>
  </si>
  <si>
    <t>Bulir padi rontok, patah, atau hampa tersisa kulit bulir</t>
  </si>
  <si>
    <t>Burung Gereja</t>
  </si>
  <si>
    <t>Burung Gereja (Passer montanus)</t>
  </si>
  <si>
    <t>Burung pemakan biji-bijian, mematuk dan mematahkan malai padi menjelang panen</t>
  </si>
  <si>
    <t>Malai padi rusak dan bulir biji habis dipatuk</t>
  </si>
  <si>
    <t>Burung Manyar</t>
  </si>
  <si>
    <t>Burung Manyar (Ploceus spp.)</t>
  </si>
  <si>
    <t>Burung pemakan biji yang merobek kelobot jagung dan memakan biji muda</t>
  </si>
  <si>
    <t>Ujung tongkol jagung terbuka dan biji hilang terpematuk</t>
  </si>
  <si>
    <t>Babi Hutan / Celeng</t>
  </si>
  <si>
    <t>Babi Hutan (Sus scrofa)</t>
  </si>
  <si>
    <t>Mamalia liar yang menyeruduk, merobohkan, dan memakan rumpun tanaman</t>
  </si>
  <si>
    <t>Rumpun tanaman berantakan, tercabut, dan terinjak-injak luas</t>
  </si>
  <si>
    <t>Menyerang tongkol jagung dengan merobohkan batang tanaman pada malam hari</t>
  </si>
  <si>
    <t>Batang jagung patah/roboh dan tongkol termakan sebagian</t>
  </si>
  <si>
    <t>Kera / Monyet Ekor Panjang</t>
  </si>
  <si>
    <t>Monyet Ekor Panjang (Macaca fascicularis)</t>
  </si>
  <si>
    <t>Primata berkelompok merusak dan memetik tongkol jagung secara masif di sekitar perbatasan hutan</t>
  </si>
  <si>
    <t>Tongkol terpetik dan berserakan dengan sisa gigitan</t>
  </si>
  <si>
    <t>Yuyu / Kepiting Sawah</t>
  </si>
  <si>
    <t>Kepiting Sawah (Parathelphusa convexa)</t>
  </si>
  <si>
    <t>Krustasea pembuat lubang di pematang dan memotong bibit padi muda baru tanam</t>
  </si>
  <si>
    <t>Pematang bocor dan batang bibit padi muda tergunting rata</t>
  </si>
  <si>
    <t>gangguan_sosial</t>
  </si>
  <si>
    <t>Penggembalaan Liar / Ternak Lepas</t>
  </si>
  <si>
    <t>Kerusakan Akibat Ternak Lepas</t>
  </si>
  <si>
    <t>Hewan ternak (sapi/kambing/bebek) masuk ke lahan memakan atau menginjak tanaman muda</t>
  </si>
  <si>
    <t>Tanaman rebah, terinjak, tercabut, atau pucuk daun terpotong acak</t>
  </si>
  <si>
    <t>Kekeringan / Puso</t>
  </si>
  <si>
    <t>Cekaman Kekeringan (Drought Stress)</t>
  </si>
  <si>
    <t>faktor_abiotik</t>
  </si>
  <si>
    <t>Ketiadaan pasokan air irigasi/hujan dalam durasi lama hingga tanah retak</t>
  </si>
  <si>
    <t>Daun menggulung, terbakar mengering, tanaman kerdil hingga puso</t>
  </si>
  <si>
    <t>Banjir / Rendaman Air</t>
  </si>
  <si>
    <t>Cekaman Rendaman (Submergence Stress)</t>
  </si>
  <si>
    <t>Tanaman terendam genangan air berlebih &gt;3-5 hari akibat luapan sungai/drainase buruk</t>
  </si>
  <si>
    <t>Tanaman membusuk, layu basah, batang rapuh, dan tanaman mati rebah</t>
  </si>
  <si>
    <t>Rebah Angin / Puting Beliung</t>
  </si>
  <si>
    <t>Rebah Angin (Lodging Stress)</t>
  </si>
  <si>
    <t>Terpaan angin kencang atau hujan badai pada fase menjelang panen</t>
  </si>
  <si>
    <t>Batang patah atau tanaman rebah sejajar arah angin dalam hamparan luas</t>
  </si>
  <si>
    <t>Asam-asaman / Keracunan Besi</t>
  </si>
  <si>
    <t>Keracunan Besi / Fisiologis Tanah Asam</t>
  </si>
  <si>
    <t>Kondisi tanah reduktif/pH rendah menghasilkan lapisan minyak kemerahan di permukaan air</t>
  </si>
  <si>
    <t>Daun bercak kemerahan/keunguan mulai dari ujung, perakaran hitam pekat</t>
  </si>
  <si>
    <t>REKAPITULASI MASTER GANGGUAN &amp; OPT PERTANIAN INDONESIA</t>
  </si>
  <si>
    <t>Standar Master Data Perlindungan Tanaman (Hama, Penyakit, Gulma, Gangguan Sosial &amp; Abiotik)</t>
  </si>
  <si>
    <t>No</t>
  </si>
  <si>
    <t>Komoditas</t>
  </si>
  <si>
    <t>Hama</t>
  </si>
  <si>
    <t>Penyakit</t>
  </si>
  <si>
    <t>Gulma</t>
  </si>
  <si>
    <t>Gangguan Sosial / Manusia</t>
  </si>
  <si>
    <t>Faktor Abiotik / Iklim</t>
  </si>
  <si>
    <t>Total Gangguan</t>
  </si>
  <si>
    <t>TOTAL KESELURUHAN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</si>
</sst>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  <font>
      <b/>
      <sz val="14"/>
      <color rgb="FF1E3A8A"/>
      <name val="Calibri"/>
    </font>
    <font>
      <i/>
      <sz val="10"/>
      <color rgb="FF64748B"/>
      <name val="Calibri"/>
    </font>
    <font>
      <b/>
      <sz val="10"/>
      <name val="Calibri"/>
    </font>
    <font>
      <b/>
      <sz val="11"/>
      <color rgb="FF1E3A8A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E3A8A"/>
        <bgColor rgb="FF1E3A8A"/>
      </patternFill>
    </fill>
    <fill>
      <patternFill patternType="solid">
        <fgColor rgb="FFF8FAFC"/>
        <bgColor rgb="FFF8FAFC"/>
      </patternFill>
    </fill>
    <fill>
      <patternFill patternType="solid">
        <fgColor rgb="FFFFFFFF"/>
        <bgColor rgb="FFFFFFFF"/>
      </patternFill>
    </fill>
    <fill>
      <patternFill patternType="solid">
        <fgColor rgb="FFDBEAFE"/>
        <bgColor rgb="FFDBEAFE"/>
      </patternFill>
    </fill>
  </fills>
  <borders count="4">
    <border>
      <left/>
      <right/>
      <top/>
      <bottom/>
      <diagonal/>
    </border>
    <border>
      <left style="thin">
        <color rgb="FF1E3A8A"/>
      </left>
      <right style="thin">
        <color rgb="FF1E3A8A"/>
      </right>
      <top style="medium">
        <color rgb="FF1E3A8A"/>
      </top>
      <bottom style="medium">
        <color rgb="FF1E3A8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1E3A8A"/>
      </left>
      <right style="thin">
        <color rgb="FF1E3A8A"/>
      </right>
      <top style="medium">
        <color rgb="FF1E3A8A"/>
      </top>
      <bottom style="double">
        <color rgb="FF1E3A8A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/>
    <xf numFmtId="0" fontId="6" fillId="5" borderId="3" xfId="0" applyFont="1" applyFill="1" applyBorder="1" applyAlignment="1">
      <alignment horizontal="center" vertical="center"/>
    </xf>
    <xf numFmtId="0" fontId="0" fillId="5" borderId="3" xfId="0" applyFill="1" applyBorder="1"/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9"/>
  <sheetViews>
    <sheetView tabSelected="1" workbookViewId="0">
      <pane ySplit="1" topLeftCell="A32" activePane="bottomLeft" state="frozen"/>
      <selection pane="bottomLeft" activeCell="C72" sqref="C72"/>
    </sheetView>
  </sheetViews>
  <sheetFormatPr defaultRowHeight="14.4" x14ac:dyDescent="0.3"/>
  <cols>
    <col min="1" max="1" width="37" customWidth="1"/>
    <col min="2" max="2" width="50" customWidth="1"/>
    <col min="3" max="3" width="19" customWidth="1"/>
    <col min="4" max="4" width="16" customWidth="1"/>
    <col min="5" max="5" width="21" customWidth="1"/>
    <col min="6" max="6" width="50" customWidth="1"/>
    <col min="7" max="8" width="16" customWidth="1"/>
    <col min="9" max="9" width="12" customWidth="1"/>
    <col min="10" max="10" width="21" customWidth="1"/>
    <col min="11" max="11" width="12" customWidth="1"/>
    <col min="12" max="12" width="13" customWidth="1"/>
    <col min="13" max="13" width="20" customWidth="1"/>
    <col min="14" max="14" width="50" customWidth="1"/>
    <col min="15" max="15" width="22" customWidth="1"/>
    <col min="16" max="16" width="20" customWidth="1"/>
    <col min="17" max="17" width="21" customWidth="1"/>
    <col min="18" max="18" width="23" customWidth="1"/>
  </cols>
  <sheetData>
    <row r="1" spans="1:18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22.05" customHeight="1" x14ac:dyDescent="0.3">
      <c r="A2" s="2" t="s">
        <v>18</v>
      </c>
      <c r="B2" s="2" t="s">
        <v>19</v>
      </c>
      <c r="C2" s="3" t="s">
        <v>20</v>
      </c>
      <c r="D2" s="2" t="s">
        <v>21</v>
      </c>
      <c r="E2" s="3" t="s">
        <v>22</v>
      </c>
      <c r="F2" s="2" t="s">
        <v>23</v>
      </c>
      <c r="G2" s="3"/>
      <c r="H2" s="3"/>
      <c r="I2" s="3"/>
      <c r="J2" s="2" t="s">
        <v>24</v>
      </c>
      <c r="K2" s="3"/>
      <c r="L2" s="3"/>
      <c r="M2" s="2" t="s">
        <v>25</v>
      </c>
      <c r="N2" s="2" t="s">
        <v>26</v>
      </c>
      <c r="O2" s="3">
        <v>0</v>
      </c>
      <c r="P2" s="3" t="s">
        <v>27</v>
      </c>
      <c r="Q2" s="3" t="s">
        <v>28</v>
      </c>
      <c r="R2" s="2" t="s">
        <v>29</v>
      </c>
    </row>
    <row r="3" spans="1:18" ht="22.05" customHeight="1" x14ac:dyDescent="0.3">
      <c r="A3" s="4" t="s">
        <v>30</v>
      </c>
      <c r="B3" s="4" t="s">
        <v>31</v>
      </c>
      <c r="C3" s="5" t="s">
        <v>20</v>
      </c>
      <c r="D3" s="4" t="s">
        <v>21</v>
      </c>
      <c r="E3" s="5" t="s">
        <v>22</v>
      </c>
      <c r="F3" s="4" t="s">
        <v>32</v>
      </c>
      <c r="G3" s="5"/>
      <c r="H3" s="5"/>
      <c r="I3" s="5"/>
      <c r="J3" s="4" t="s">
        <v>24</v>
      </c>
      <c r="K3" s="5"/>
      <c r="L3" s="5"/>
      <c r="M3" s="4" t="s">
        <v>25</v>
      </c>
      <c r="N3" s="4" t="s">
        <v>33</v>
      </c>
      <c r="O3" s="5">
        <v>0</v>
      </c>
      <c r="P3" s="5" t="s">
        <v>27</v>
      </c>
      <c r="Q3" s="5" t="s">
        <v>28</v>
      </c>
      <c r="R3" s="4" t="s">
        <v>29</v>
      </c>
    </row>
    <row r="4" spans="1:18" ht="22.05" customHeight="1" x14ac:dyDescent="0.3">
      <c r="A4" s="2" t="s">
        <v>34</v>
      </c>
      <c r="B4" s="2" t="s">
        <v>35</v>
      </c>
      <c r="C4" s="3" t="s">
        <v>20</v>
      </c>
      <c r="D4" s="2" t="s">
        <v>21</v>
      </c>
      <c r="E4" s="3" t="s">
        <v>22</v>
      </c>
      <c r="F4" s="2" t="s">
        <v>36</v>
      </c>
      <c r="G4" s="3"/>
      <c r="H4" s="3"/>
      <c r="I4" s="3"/>
      <c r="J4" s="2" t="s">
        <v>24</v>
      </c>
      <c r="K4" s="3"/>
      <c r="L4" s="3"/>
      <c r="M4" s="2" t="s">
        <v>25</v>
      </c>
      <c r="N4" s="2" t="s">
        <v>37</v>
      </c>
      <c r="O4" s="3">
        <v>0</v>
      </c>
      <c r="P4" s="3" t="s">
        <v>27</v>
      </c>
      <c r="Q4" s="3" t="s">
        <v>28</v>
      </c>
      <c r="R4" s="2" t="s">
        <v>29</v>
      </c>
    </row>
    <row r="5" spans="1:18" ht="22.05" customHeight="1" x14ac:dyDescent="0.3">
      <c r="A5" s="4" t="s">
        <v>38</v>
      </c>
      <c r="B5" s="4" t="s">
        <v>39</v>
      </c>
      <c r="C5" s="5" t="s">
        <v>20</v>
      </c>
      <c r="D5" s="4" t="s">
        <v>21</v>
      </c>
      <c r="E5" s="5" t="s">
        <v>22</v>
      </c>
      <c r="F5" s="4" t="s">
        <v>40</v>
      </c>
      <c r="G5" s="5"/>
      <c r="H5" s="5"/>
      <c r="I5" s="5"/>
      <c r="J5" s="4" t="s">
        <v>24</v>
      </c>
      <c r="K5" s="5"/>
      <c r="L5" s="5"/>
      <c r="M5" s="4" t="s">
        <v>41</v>
      </c>
      <c r="N5" s="4" t="s">
        <v>42</v>
      </c>
      <c r="O5" s="5">
        <v>0</v>
      </c>
      <c r="P5" s="5" t="s">
        <v>27</v>
      </c>
      <c r="Q5" s="5" t="s">
        <v>28</v>
      </c>
      <c r="R5" s="4" t="s">
        <v>29</v>
      </c>
    </row>
    <row r="6" spans="1:18" ht="22.05" customHeight="1" x14ac:dyDescent="0.3">
      <c r="A6" s="2" t="s">
        <v>43</v>
      </c>
      <c r="B6" s="2" t="s">
        <v>44</v>
      </c>
      <c r="C6" s="3" t="s">
        <v>20</v>
      </c>
      <c r="D6" s="2" t="s">
        <v>21</v>
      </c>
      <c r="E6" s="3" t="s">
        <v>22</v>
      </c>
      <c r="F6" s="2" t="s">
        <v>45</v>
      </c>
      <c r="G6" s="3"/>
      <c r="H6" s="3"/>
      <c r="I6" s="3"/>
      <c r="J6" s="2" t="s">
        <v>24</v>
      </c>
      <c r="K6" s="3"/>
      <c r="L6" s="3"/>
      <c r="M6" s="2" t="s">
        <v>46</v>
      </c>
      <c r="N6" s="2" t="s">
        <v>47</v>
      </c>
      <c r="O6" s="3">
        <v>0</v>
      </c>
      <c r="P6" s="3" t="s">
        <v>27</v>
      </c>
      <c r="Q6" s="3" t="s">
        <v>48</v>
      </c>
      <c r="R6" s="2" t="s">
        <v>29</v>
      </c>
    </row>
    <row r="7" spans="1:18" ht="22.05" customHeight="1" x14ac:dyDescent="0.3">
      <c r="A7" s="4" t="s">
        <v>49</v>
      </c>
      <c r="B7" s="4" t="s">
        <v>50</v>
      </c>
      <c r="C7" s="5" t="s">
        <v>20</v>
      </c>
      <c r="D7" s="4" t="s">
        <v>21</v>
      </c>
      <c r="E7" s="5" t="s">
        <v>22</v>
      </c>
      <c r="F7" s="4" t="s">
        <v>51</v>
      </c>
      <c r="G7" s="5"/>
      <c r="H7" s="5"/>
      <c r="I7" s="5"/>
      <c r="J7" s="4" t="s">
        <v>24</v>
      </c>
      <c r="K7" s="5"/>
      <c r="L7" s="5"/>
      <c r="M7" s="4" t="s">
        <v>46</v>
      </c>
      <c r="N7" s="4" t="s">
        <v>52</v>
      </c>
      <c r="O7" s="5">
        <v>0</v>
      </c>
      <c r="P7" s="5" t="s">
        <v>27</v>
      </c>
      <c r="Q7" s="5" t="s">
        <v>48</v>
      </c>
      <c r="R7" s="4" t="s">
        <v>29</v>
      </c>
    </row>
    <row r="8" spans="1:18" ht="22.05" customHeight="1" x14ac:dyDescent="0.3">
      <c r="A8" s="2" t="s">
        <v>53</v>
      </c>
      <c r="B8" s="2" t="s">
        <v>54</v>
      </c>
      <c r="C8" s="3" t="s">
        <v>20</v>
      </c>
      <c r="D8" s="2" t="s">
        <v>21</v>
      </c>
      <c r="E8" s="3" t="s">
        <v>22</v>
      </c>
      <c r="F8" s="2" t="s">
        <v>55</v>
      </c>
      <c r="G8" s="3"/>
      <c r="H8" s="3"/>
      <c r="I8" s="3"/>
      <c r="J8" s="2" t="s">
        <v>24</v>
      </c>
      <c r="K8" s="3"/>
      <c r="L8" s="3"/>
      <c r="M8" s="2" t="s">
        <v>46</v>
      </c>
      <c r="N8" s="2" t="s">
        <v>56</v>
      </c>
      <c r="O8" s="3">
        <v>0</v>
      </c>
      <c r="P8" s="3" t="s">
        <v>27</v>
      </c>
      <c r="Q8" s="3" t="s">
        <v>28</v>
      </c>
      <c r="R8" s="2" t="s">
        <v>29</v>
      </c>
    </row>
    <row r="9" spans="1:18" ht="22.05" customHeight="1" x14ac:dyDescent="0.3">
      <c r="A9" s="4" t="s">
        <v>57</v>
      </c>
      <c r="B9" s="4" t="s">
        <v>58</v>
      </c>
      <c r="C9" s="5" t="s">
        <v>20</v>
      </c>
      <c r="D9" s="4" t="s">
        <v>21</v>
      </c>
      <c r="E9" s="5" t="s">
        <v>22</v>
      </c>
      <c r="F9" s="4" t="s">
        <v>59</v>
      </c>
      <c r="G9" s="5"/>
      <c r="H9" s="5"/>
      <c r="I9" s="5"/>
      <c r="J9" s="4" t="s">
        <v>24</v>
      </c>
      <c r="K9" s="5"/>
      <c r="L9" s="5"/>
      <c r="M9" s="4" t="s">
        <v>46</v>
      </c>
      <c r="N9" s="4" t="s">
        <v>60</v>
      </c>
      <c r="O9" s="5">
        <v>0</v>
      </c>
      <c r="P9" s="5" t="s">
        <v>27</v>
      </c>
      <c r="Q9" s="5" t="s">
        <v>48</v>
      </c>
      <c r="R9" s="4" t="s">
        <v>29</v>
      </c>
    </row>
    <row r="10" spans="1:18" ht="22.05" customHeight="1" x14ac:dyDescent="0.3">
      <c r="A10" s="2" t="s">
        <v>61</v>
      </c>
      <c r="B10" s="2" t="s">
        <v>61</v>
      </c>
      <c r="C10" s="3" t="s">
        <v>20</v>
      </c>
      <c r="D10" s="2" t="s">
        <v>21</v>
      </c>
      <c r="E10" s="3" t="s">
        <v>22</v>
      </c>
      <c r="F10" s="2" t="s">
        <v>62</v>
      </c>
      <c r="G10" s="3"/>
      <c r="H10" s="3"/>
      <c r="I10" s="3"/>
      <c r="J10" s="2" t="s">
        <v>24</v>
      </c>
      <c r="K10" s="3"/>
      <c r="L10" s="3"/>
      <c r="M10" s="2" t="s">
        <v>63</v>
      </c>
      <c r="N10" s="2" t="s">
        <v>64</v>
      </c>
      <c r="O10" s="3">
        <v>0</v>
      </c>
      <c r="P10" s="3" t="s">
        <v>27</v>
      </c>
      <c r="Q10" s="3" t="s">
        <v>48</v>
      </c>
      <c r="R10" s="2" t="s">
        <v>29</v>
      </c>
    </row>
    <row r="11" spans="1:18" ht="22.05" customHeight="1" x14ac:dyDescent="0.3">
      <c r="A11" s="4" t="s">
        <v>65</v>
      </c>
      <c r="B11" s="4" t="s">
        <v>66</v>
      </c>
      <c r="C11" s="5" t="s">
        <v>20</v>
      </c>
      <c r="D11" s="4" t="s">
        <v>21</v>
      </c>
      <c r="E11" s="5" t="s">
        <v>22</v>
      </c>
      <c r="F11" s="4" t="s">
        <v>67</v>
      </c>
      <c r="G11" s="5"/>
      <c r="H11" s="5"/>
      <c r="I11" s="5"/>
      <c r="J11" s="4" t="s">
        <v>24</v>
      </c>
      <c r="K11" s="5"/>
      <c r="L11" s="5"/>
      <c r="M11" s="4" t="s">
        <v>25</v>
      </c>
      <c r="N11" s="4" t="s">
        <v>68</v>
      </c>
      <c r="O11" s="5">
        <v>0</v>
      </c>
      <c r="P11" s="5" t="s">
        <v>27</v>
      </c>
      <c r="Q11" s="5" t="s">
        <v>48</v>
      </c>
      <c r="R11" s="4" t="s">
        <v>29</v>
      </c>
    </row>
    <row r="12" spans="1:18" ht="22.05" customHeight="1" x14ac:dyDescent="0.3">
      <c r="A12" s="2" t="s">
        <v>69</v>
      </c>
      <c r="B12" s="2" t="s">
        <v>70</v>
      </c>
      <c r="C12" s="3" t="s">
        <v>20</v>
      </c>
      <c r="D12" s="2" t="s">
        <v>21</v>
      </c>
      <c r="E12" s="3" t="s">
        <v>22</v>
      </c>
      <c r="F12" s="2" t="s">
        <v>71</v>
      </c>
      <c r="G12" s="3"/>
      <c r="H12" s="3"/>
      <c r="I12" s="3"/>
      <c r="J12" s="2" t="s">
        <v>24</v>
      </c>
      <c r="K12" s="3"/>
      <c r="L12" s="3"/>
      <c r="M12" s="2" t="s">
        <v>72</v>
      </c>
      <c r="N12" s="2" t="s">
        <v>73</v>
      </c>
      <c r="O12" s="3">
        <v>0</v>
      </c>
      <c r="P12" s="3" t="s">
        <v>27</v>
      </c>
      <c r="Q12" s="3" t="s">
        <v>48</v>
      </c>
      <c r="R12" s="2" t="s">
        <v>29</v>
      </c>
    </row>
    <row r="13" spans="1:18" ht="22.05" customHeight="1" x14ac:dyDescent="0.3">
      <c r="A13" s="4" t="s">
        <v>74</v>
      </c>
      <c r="B13" s="4" t="s">
        <v>75</v>
      </c>
      <c r="C13" s="5" t="s">
        <v>20</v>
      </c>
      <c r="D13" s="4" t="s">
        <v>21</v>
      </c>
      <c r="E13" s="5" t="s">
        <v>22</v>
      </c>
      <c r="F13" s="4" t="s">
        <v>76</v>
      </c>
      <c r="G13" s="5"/>
      <c r="H13" s="5"/>
      <c r="I13" s="5"/>
      <c r="J13" s="4" t="s">
        <v>24</v>
      </c>
      <c r="K13" s="5"/>
      <c r="L13" s="5"/>
      <c r="M13" s="4" t="s">
        <v>46</v>
      </c>
      <c r="N13" s="4" t="s">
        <v>77</v>
      </c>
      <c r="O13" s="5">
        <v>0</v>
      </c>
      <c r="P13" s="5" t="s">
        <v>27</v>
      </c>
      <c r="Q13" s="5" t="s">
        <v>48</v>
      </c>
      <c r="R13" s="4" t="s">
        <v>29</v>
      </c>
    </row>
    <row r="14" spans="1:18" ht="22.05" customHeight="1" x14ac:dyDescent="0.3">
      <c r="A14" s="2" t="s">
        <v>78</v>
      </c>
      <c r="B14" s="2" t="s">
        <v>79</v>
      </c>
      <c r="C14" s="3" t="s">
        <v>20</v>
      </c>
      <c r="D14" s="2" t="s">
        <v>21</v>
      </c>
      <c r="E14" s="3" t="s">
        <v>22</v>
      </c>
      <c r="F14" s="2" t="s">
        <v>80</v>
      </c>
      <c r="G14" s="3"/>
      <c r="H14" s="3"/>
      <c r="I14" s="3"/>
      <c r="J14" s="2" t="s">
        <v>24</v>
      </c>
      <c r="K14" s="3"/>
      <c r="L14" s="3"/>
      <c r="M14" s="2" t="s">
        <v>46</v>
      </c>
      <c r="N14" s="2" t="s">
        <v>81</v>
      </c>
      <c r="O14" s="3">
        <v>0</v>
      </c>
      <c r="P14" s="3" t="s">
        <v>27</v>
      </c>
      <c r="Q14" s="3" t="s">
        <v>48</v>
      </c>
      <c r="R14" s="2" t="s">
        <v>29</v>
      </c>
    </row>
    <row r="15" spans="1:18" ht="22.05" customHeight="1" x14ac:dyDescent="0.3">
      <c r="A15" s="4" t="s">
        <v>82</v>
      </c>
      <c r="B15" s="4" t="s">
        <v>83</v>
      </c>
      <c r="C15" s="5" t="s">
        <v>20</v>
      </c>
      <c r="D15" s="4" t="s">
        <v>21</v>
      </c>
      <c r="E15" s="5" t="s">
        <v>22</v>
      </c>
      <c r="F15" s="4" t="s">
        <v>84</v>
      </c>
      <c r="G15" s="5"/>
      <c r="H15" s="5"/>
      <c r="I15" s="5"/>
      <c r="J15" s="4" t="s">
        <v>24</v>
      </c>
      <c r="K15" s="5"/>
      <c r="L15" s="5"/>
      <c r="M15" s="4" t="s">
        <v>46</v>
      </c>
      <c r="N15" s="4" t="s">
        <v>85</v>
      </c>
      <c r="O15" s="5">
        <v>0</v>
      </c>
      <c r="P15" s="5" t="s">
        <v>27</v>
      </c>
      <c r="Q15" s="5" t="s">
        <v>48</v>
      </c>
      <c r="R15" s="4" t="s">
        <v>29</v>
      </c>
    </row>
    <row r="16" spans="1:18" ht="22.05" customHeight="1" x14ac:dyDescent="0.3">
      <c r="A16" s="2" t="s">
        <v>86</v>
      </c>
      <c r="B16" s="2" t="s">
        <v>87</v>
      </c>
      <c r="C16" s="3" t="s">
        <v>20</v>
      </c>
      <c r="D16" s="2" t="s">
        <v>21</v>
      </c>
      <c r="E16" s="3" t="s">
        <v>22</v>
      </c>
      <c r="F16" s="2" t="s">
        <v>88</v>
      </c>
      <c r="G16" s="3"/>
      <c r="H16" s="3"/>
      <c r="I16" s="3"/>
      <c r="J16" s="2" t="s">
        <v>24</v>
      </c>
      <c r="K16" s="3"/>
      <c r="L16" s="3"/>
      <c r="M16" s="2" t="s">
        <v>25</v>
      </c>
      <c r="N16" s="2" t="s">
        <v>89</v>
      </c>
      <c r="O16" s="3">
        <v>0</v>
      </c>
      <c r="P16" s="3" t="s">
        <v>27</v>
      </c>
      <c r="Q16" s="3" t="s">
        <v>48</v>
      </c>
      <c r="R16" s="2" t="s">
        <v>29</v>
      </c>
    </row>
    <row r="17" spans="1:18" ht="22.05" customHeight="1" x14ac:dyDescent="0.3">
      <c r="A17" s="4" t="s">
        <v>90</v>
      </c>
      <c r="B17" s="4" t="s">
        <v>91</v>
      </c>
      <c r="C17" s="5" t="s">
        <v>20</v>
      </c>
      <c r="D17" s="4" t="s">
        <v>21</v>
      </c>
      <c r="E17" s="5" t="s">
        <v>22</v>
      </c>
      <c r="F17" s="4" t="s">
        <v>92</v>
      </c>
      <c r="G17" s="5"/>
      <c r="H17" s="5"/>
      <c r="I17" s="5"/>
      <c r="J17" s="4" t="s">
        <v>24</v>
      </c>
      <c r="K17" s="5"/>
      <c r="L17" s="5"/>
      <c r="M17" s="4" t="s">
        <v>25</v>
      </c>
      <c r="N17" s="4" t="s">
        <v>93</v>
      </c>
      <c r="O17" s="5">
        <v>0</v>
      </c>
      <c r="P17" s="5" t="s">
        <v>27</v>
      </c>
      <c r="Q17" s="5" t="s">
        <v>48</v>
      </c>
      <c r="R17" s="4" t="s">
        <v>29</v>
      </c>
    </row>
    <row r="18" spans="1:18" ht="22.05" customHeight="1" x14ac:dyDescent="0.3">
      <c r="A18" s="2" t="s">
        <v>94</v>
      </c>
      <c r="B18" s="2" t="s">
        <v>94</v>
      </c>
      <c r="C18" s="3" t="s">
        <v>20</v>
      </c>
      <c r="D18" s="2" t="s">
        <v>21</v>
      </c>
      <c r="E18" s="3" t="s">
        <v>22</v>
      </c>
      <c r="F18" s="2" t="s">
        <v>95</v>
      </c>
      <c r="G18" s="3"/>
      <c r="H18" s="3"/>
      <c r="I18" s="3"/>
      <c r="J18" s="2" t="s">
        <v>24</v>
      </c>
      <c r="K18" s="3"/>
      <c r="L18" s="3"/>
      <c r="M18" s="2" t="s">
        <v>46</v>
      </c>
      <c r="N18" s="2" t="s">
        <v>96</v>
      </c>
      <c r="O18" s="3">
        <v>0</v>
      </c>
      <c r="P18" s="3" t="s">
        <v>27</v>
      </c>
      <c r="Q18" s="3" t="s">
        <v>48</v>
      </c>
      <c r="R18" s="2" t="s">
        <v>29</v>
      </c>
    </row>
    <row r="19" spans="1:18" ht="22.05" customHeight="1" x14ac:dyDescent="0.3">
      <c r="A19" s="4" t="s">
        <v>97</v>
      </c>
      <c r="B19" s="4" t="s">
        <v>98</v>
      </c>
      <c r="C19" s="5" t="s">
        <v>20</v>
      </c>
      <c r="D19" s="4" t="s">
        <v>21</v>
      </c>
      <c r="E19" s="5" t="s">
        <v>22</v>
      </c>
      <c r="F19" s="4" t="s">
        <v>99</v>
      </c>
      <c r="G19" s="5"/>
      <c r="H19" s="5"/>
      <c r="I19" s="5"/>
      <c r="J19" s="4" t="s">
        <v>24</v>
      </c>
      <c r="K19" s="5"/>
      <c r="L19" s="5"/>
      <c r="M19" s="4" t="s">
        <v>46</v>
      </c>
      <c r="N19" s="4" t="s">
        <v>85</v>
      </c>
      <c r="O19" s="5">
        <v>0</v>
      </c>
      <c r="P19" s="5" t="s">
        <v>27</v>
      </c>
      <c r="Q19" s="5" t="s">
        <v>48</v>
      </c>
      <c r="R19" s="4" t="s">
        <v>29</v>
      </c>
    </row>
    <row r="20" spans="1:18" ht="22.05" customHeight="1" x14ac:dyDescent="0.3">
      <c r="A20" s="2" t="s">
        <v>100</v>
      </c>
      <c r="B20" s="2" t="s">
        <v>101</v>
      </c>
      <c r="C20" s="3" t="s">
        <v>20</v>
      </c>
      <c r="D20" s="2" t="s">
        <v>21</v>
      </c>
      <c r="E20" s="3" t="s">
        <v>22</v>
      </c>
      <c r="F20" s="2" t="s">
        <v>102</v>
      </c>
      <c r="G20" s="3"/>
      <c r="H20" s="3"/>
      <c r="I20" s="3"/>
      <c r="J20" s="2" t="s">
        <v>24</v>
      </c>
      <c r="K20" s="3"/>
      <c r="L20" s="3"/>
      <c r="M20" s="2" t="s">
        <v>46</v>
      </c>
      <c r="N20" s="2" t="s">
        <v>103</v>
      </c>
      <c r="O20" s="3">
        <v>0</v>
      </c>
      <c r="P20" s="3" t="s">
        <v>27</v>
      </c>
      <c r="Q20" s="3" t="s">
        <v>48</v>
      </c>
      <c r="R20" s="2" t="s">
        <v>29</v>
      </c>
    </row>
    <row r="21" spans="1:18" ht="22.05" customHeight="1" x14ac:dyDescent="0.3">
      <c r="A21" s="4" t="s">
        <v>104</v>
      </c>
      <c r="B21" s="4" t="s">
        <v>105</v>
      </c>
      <c r="C21" s="5" t="s">
        <v>20</v>
      </c>
      <c r="D21" s="4" t="s">
        <v>21</v>
      </c>
      <c r="E21" s="5" t="s">
        <v>22</v>
      </c>
      <c r="F21" s="4" t="s">
        <v>106</v>
      </c>
      <c r="G21" s="5"/>
      <c r="H21" s="5"/>
      <c r="I21" s="5"/>
      <c r="J21" s="4" t="s">
        <v>24</v>
      </c>
      <c r="K21" s="5"/>
      <c r="L21" s="5"/>
      <c r="M21" s="4" t="s">
        <v>41</v>
      </c>
      <c r="N21" s="4" t="s">
        <v>107</v>
      </c>
      <c r="O21" s="5">
        <v>0</v>
      </c>
      <c r="P21" s="5" t="s">
        <v>27</v>
      </c>
      <c r="Q21" s="5" t="s">
        <v>48</v>
      </c>
      <c r="R21" s="4" t="s">
        <v>29</v>
      </c>
    </row>
    <row r="22" spans="1:18" ht="22.05" customHeight="1" x14ac:dyDescent="0.3">
      <c r="A22" s="2" t="s">
        <v>108</v>
      </c>
      <c r="B22" s="2" t="s">
        <v>109</v>
      </c>
      <c r="C22" s="3" t="s">
        <v>110</v>
      </c>
      <c r="D22" s="2" t="s">
        <v>21</v>
      </c>
      <c r="E22" s="3" t="s">
        <v>22</v>
      </c>
      <c r="F22" s="2" t="s">
        <v>111</v>
      </c>
      <c r="G22" s="3"/>
      <c r="H22" s="3"/>
      <c r="I22" s="3"/>
      <c r="J22" s="2" t="s">
        <v>24</v>
      </c>
      <c r="K22" s="3"/>
      <c r="L22" s="3"/>
      <c r="M22" s="2" t="s">
        <v>46</v>
      </c>
      <c r="N22" s="2" t="s">
        <v>112</v>
      </c>
      <c r="O22" s="3">
        <v>0</v>
      </c>
      <c r="P22" s="3" t="s">
        <v>27</v>
      </c>
      <c r="Q22" s="3" t="s">
        <v>28</v>
      </c>
      <c r="R22" s="2" t="s">
        <v>29</v>
      </c>
    </row>
    <row r="23" spans="1:18" ht="22.05" customHeight="1" x14ac:dyDescent="0.3">
      <c r="A23" s="4" t="s">
        <v>113</v>
      </c>
      <c r="B23" s="4" t="s">
        <v>114</v>
      </c>
      <c r="C23" s="5" t="s">
        <v>110</v>
      </c>
      <c r="D23" s="4" t="s">
        <v>21</v>
      </c>
      <c r="E23" s="5" t="s">
        <v>22</v>
      </c>
      <c r="F23" s="4" t="s">
        <v>115</v>
      </c>
      <c r="G23" s="5"/>
      <c r="H23" s="5"/>
      <c r="I23" s="5"/>
      <c r="J23" s="4" t="s">
        <v>24</v>
      </c>
      <c r="K23" s="5"/>
      <c r="L23" s="5"/>
      <c r="M23" s="4" t="s">
        <v>46</v>
      </c>
      <c r="N23" s="4" t="s">
        <v>26</v>
      </c>
      <c r="O23" s="5">
        <v>0</v>
      </c>
      <c r="P23" s="5" t="s">
        <v>27</v>
      </c>
      <c r="Q23" s="5" t="s">
        <v>28</v>
      </c>
      <c r="R23" s="4" t="s">
        <v>29</v>
      </c>
    </row>
    <row r="24" spans="1:18" ht="22.05" customHeight="1" x14ac:dyDescent="0.3">
      <c r="A24" s="2" t="s">
        <v>116</v>
      </c>
      <c r="B24" s="2" t="s">
        <v>116</v>
      </c>
      <c r="C24" s="3" t="s">
        <v>110</v>
      </c>
      <c r="D24" s="2" t="s">
        <v>21</v>
      </c>
      <c r="E24" s="3" t="s">
        <v>22</v>
      </c>
      <c r="F24" s="2" t="s">
        <v>117</v>
      </c>
      <c r="G24" s="3"/>
      <c r="H24" s="3"/>
      <c r="I24" s="3"/>
      <c r="J24" s="2" t="s">
        <v>24</v>
      </c>
      <c r="K24" s="3"/>
      <c r="L24" s="3"/>
      <c r="M24" s="2" t="s">
        <v>46</v>
      </c>
      <c r="N24" s="2" t="s">
        <v>118</v>
      </c>
      <c r="O24" s="3">
        <v>0</v>
      </c>
      <c r="P24" s="3" t="s">
        <v>27</v>
      </c>
      <c r="Q24" s="3" t="s">
        <v>28</v>
      </c>
      <c r="R24" s="2" t="s">
        <v>29</v>
      </c>
    </row>
    <row r="25" spans="1:18" ht="22.05" customHeight="1" x14ac:dyDescent="0.3">
      <c r="A25" s="4" t="s">
        <v>119</v>
      </c>
      <c r="B25" s="4" t="s">
        <v>120</v>
      </c>
      <c r="C25" s="5" t="s">
        <v>110</v>
      </c>
      <c r="D25" s="4" t="s">
        <v>21</v>
      </c>
      <c r="E25" s="5" t="s">
        <v>22</v>
      </c>
      <c r="F25" s="4" t="s">
        <v>121</v>
      </c>
      <c r="G25" s="5"/>
      <c r="H25" s="5"/>
      <c r="I25" s="5"/>
      <c r="J25" s="4" t="s">
        <v>24</v>
      </c>
      <c r="K25" s="5"/>
      <c r="L25" s="5"/>
      <c r="M25" s="4" t="s">
        <v>122</v>
      </c>
      <c r="N25" s="4" t="s">
        <v>123</v>
      </c>
      <c r="O25" s="5">
        <v>0</v>
      </c>
      <c r="P25" s="5" t="s">
        <v>27</v>
      </c>
      <c r="Q25" s="5" t="s">
        <v>48</v>
      </c>
      <c r="R25" s="4" t="s">
        <v>29</v>
      </c>
    </row>
    <row r="26" spans="1:18" ht="22.05" customHeight="1" x14ac:dyDescent="0.3">
      <c r="A26" s="2" t="s">
        <v>124</v>
      </c>
      <c r="B26" s="2" t="s">
        <v>125</v>
      </c>
      <c r="C26" s="3" t="s">
        <v>110</v>
      </c>
      <c r="D26" s="2" t="s">
        <v>21</v>
      </c>
      <c r="E26" s="3" t="s">
        <v>22</v>
      </c>
      <c r="F26" s="2" t="s">
        <v>126</v>
      </c>
      <c r="G26" s="3"/>
      <c r="H26" s="3"/>
      <c r="I26" s="3"/>
      <c r="J26" s="2" t="s">
        <v>24</v>
      </c>
      <c r="K26" s="3"/>
      <c r="L26" s="3"/>
      <c r="M26" s="2" t="s">
        <v>122</v>
      </c>
      <c r="N26" s="2" t="s">
        <v>127</v>
      </c>
      <c r="O26" s="3">
        <v>0</v>
      </c>
      <c r="P26" s="3" t="s">
        <v>27</v>
      </c>
      <c r="Q26" s="3" t="s">
        <v>48</v>
      </c>
      <c r="R26" s="2" t="s">
        <v>29</v>
      </c>
    </row>
    <row r="27" spans="1:18" ht="22.05" customHeight="1" x14ac:dyDescent="0.3">
      <c r="A27" s="4" t="s">
        <v>128</v>
      </c>
      <c r="B27" s="4" t="s">
        <v>129</v>
      </c>
      <c r="C27" s="5" t="s">
        <v>110</v>
      </c>
      <c r="D27" s="4" t="s">
        <v>21</v>
      </c>
      <c r="E27" s="5" t="s">
        <v>22</v>
      </c>
      <c r="F27" s="4" t="s">
        <v>130</v>
      </c>
      <c r="G27" s="5"/>
      <c r="H27" s="5"/>
      <c r="I27" s="5"/>
      <c r="J27" s="4" t="s">
        <v>24</v>
      </c>
      <c r="K27" s="5"/>
      <c r="L27" s="5"/>
      <c r="M27" s="4" t="s">
        <v>25</v>
      </c>
      <c r="N27" s="4" t="s">
        <v>131</v>
      </c>
      <c r="O27" s="5">
        <v>0</v>
      </c>
      <c r="P27" s="5" t="s">
        <v>27</v>
      </c>
      <c r="Q27" s="5" t="s">
        <v>48</v>
      </c>
      <c r="R27" s="4" t="s">
        <v>29</v>
      </c>
    </row>
    <row r="28" spans="1:18" ht="22.05" customHeight="1" x14ac:dyDescent="0.3">
      <c r="A28" s="2" t="s">
        <v>132</v>
      </c>
      <c r="B28" s="2" t="s">
        <v>133</v>
      </c>
      <c r="C28" s="3" t="s">
        <v>110</v>
      </c>
      <c r="D28" s="2" t="s">
        <v>21</v>
      </c>
      <c r="E28" s="3" t="s">
        <v>22</v>
      </c>
      <c r="F28" s="2" t="s">
        <v>134</v>
      </c>
      <c r="G28" s="3"/>
      <c r="H28" s="3"/>
      <c r="I28" s="3"/>
      <c r="J28" s="2" t="s">
        <v>24</v>
      </c>
      <c r="K28" s="3"/>
      <c r="L28" s="3"/>
      <c r="M28" s="2" t="s">
        <v>46</v>
      </c>
      <c r="N28" s="2" t="s">
        <v>135</v>
      </c>
      <c r="O28" s="3">
        <v>0</v>
      </c>
      <c r="P28" s="3" t="s">
        <v>27</v>
      </c>
      <c r="Q28" s="3" t="s">
        <v>48</v>
      </c>
      <c r="R28" s="2" t="s">
        <v>29</v>
      </c>
    </row>
    <row r="29" spans="1:18" ht="22.05" customHeight="1" x14ac:dyDescent="0.3">
      <c r="A29" s="4" t="s">
        <v>136</v>
      </c>
      <c r="B29" s="4" t="s">
        <v>137</v>
      </c>
      <c r="C29" s="5" t="s">
        <v>110</v>
      </c>
      <c r="D29" s="4" t="s">
        <v>21</v>
      </c>
      <c r="E29" s="5" t="s">
        <v>22</v>
      </c>
      <c r="F29" s="4" t="s">
        <v>138</v>
      </c>
      <c r="G29" s="5"/>
      <c r="H29" s="5"/>
      <c r="I29" s="5"/>
      <c r="J29" s="4" t="s">
        <v>24</v>
      </c>
      <c r="K29" s="5"/>
      <c r="L29" s="5"/>
      <c r="M29" s="4" t="s">
        <v>46</v>
      </c>
      <c r="N29" s="4" t="s">
        <v>139</v>
      </c>
      <c r="O29" s="5">
        <v>0</v>
      </c>
      <c r="P29" s="5" t="s">
        <v>27</v>
      </c>
      <c r="Q29" s="5" t="s">
        <v>48</v>
      </c>
      <c r="R29" s="4" t="s">
        <v>29</v>
      </c>
    </row>
    <row r="30" spans="1:18" ht="22.05" customHeight="1" x14ac:dyDescent="0.3">
      <c r="A30" s="2" t="s">
        <v>140</v>
      </c>
      <c r="B30" s="2" t="s">
        <v>141</v>
      </c>
      <c r="C30" s="3" t="s">
        <v>110</v>
      </c>
      <c r="D30" s="2" t="s">
        <v>21</v>
      </c>
      <c r="E30" s="3" t="s">
        <v>22</v>
      </c>
      <c r="F30" s="2" t="s">
        <v>142</v>
      </c>
      <c r="G30" s="3"/>
      <c r="H30" s="3"/>
      <c r="I30" s="3"/>
      <c r="J30" s="2" t="s">
        <v>24</v>
      </c>
      <c r="K30" s="3"/>
      <c r="L30" s="3"/>
      <c r="M30" s="2" t="s">
        <v>46</v>
      </c>
      <c r="N30" s="2" t="s">
        <v>143</v>
      </c>
      <c r="O30" s="3">
        <v>0</v>
      </c>
      <c r="P30" s="3" t="s">
        <v>27</v>
      </c>
      <c r="Q30" s="3" t="s">
        <v>48</v>
      </c>
      <c r="R30" s="2" t="s">
        <v>29</v>
      </c>
    </row>
    <row r="31" spans="1:18" ht="22.05" customHeight="1" x14ac:dyDescent="0.3">
      <c r="A31" s="4" t="s">
        <v>144</v>
      </c>
      <c r="B31" s="4" t="s">
        <v>145</v>
      </c>
      <c r="C31" s="5" t="s">
        <v>110</v>
      </c>
      <c r="D31" s="4" t="s">
        <v>21</v>
      </c>
      <c r="E31" s="5" t="s">
        <v>22</v>
      </c>
      <c r="F31" s="4" t="s">
        <v>146</v>
      </c>
      <c r="G31" s="5"/>
      <c r="H31" s="5"/>
      <c r="I31" s="5"/>
      <c r="J31" s="4" t="s">
        <v>24</v>
      </c>
      <c r="K31" s="5"/>
      <c r="L31" s="5"/>
      <c r="M31" s="4" t="s">
        <v>147</v>
      </c>
      <c r="N31" s="4" t="s">
        <v>148</v>
      </c>
      <c r="O31" s="5">
        <v>0</v>
      </c>
      <c r="P31" s="5" t="s">
        <v>27</v>
      </c>
      <c r="Q31" s="5" t="s">
        <v>48</v>
      </c>
      <c r="R31" s="4" t="s">
        <v>29</v>
      </c>
    </row>
    <row r="32" spans="1:18" ht="22.05" customHeight="1" x14ac:dyDescent="0.3">
      <c r="A32" s="2" t="s">
        <v>149</v>
      </c>
      <c r="B32" s="2" t="s">
        <v>150</v>
      </c>
      <c r="C32" s="3" t="s">
        <v>110</v>
      </c>
      <c r="D32" s="2" t="s">
        <v>21</v>
      </c>
      <c r="E32" s="3" t="s">
        <v>22</v>
      </c>
      <c r="F32" s="2" t="s">
        <v>151</v>
      </c>
      <c r="G32" s="3"/>
      <c r="H32" s="3"/>
      <c r="I32" s="3"/>
      <c r="J32" s="2" t="s">
        <v>24</v>
      </c>
      <c r="K32" s="3"/>
      <c r="L32" s="3"/>
      <c r="M32" s="2" t="s">
        <v>147</v>
      </c>
      <c r="N32" s="2" t="s">
        <v>152</v>
      </c>
      <c r="O32" s="3">
        <v>0</v>
      </c>
      <c r="P32" s="3" t="s">
        <v>27</v>
      </c>
      <c r="Q32" s="3" t="s">
        <v>48</v>
      </c>
      <c r="R32" s="2" t="s">
        <v>29</v>
      </c>
    </row>
    <row r="33" spans="1:18" ht="22.05" customHeight="1" x14ac:dyDescent="0.3">
      <c r="A33" s="4" t="s">
        <v>153</v>
      </c>
      <c r="B33" s="4" t="s">
        <v>154</v>
      </c>
      <c r="C33" s="5" t="s">
        <v>110</v>
      </c>
      <c r="D33" s="4" t="s">
        <v>21</v>
      </c>
      <c r="E33" s="5" t="s">
        <v>22</v>
      </c>
      <c r="F33" s="4" t="s">
        <v>155</v>
      </c>
      <c r="G33" s="5"/>
      <c r="H33" s="5"/>
      <c r="I33" s="5"/>
      <c r="J33" s="4" t="s">
        <v>24</v>
      </c>
      <c r="K33" s="5"/>
      <c r="L33" s="5"/>
      <c r="M33" s="4" t="s">
        <v>41</v>
      </c>
      <c r="N33" s="4" t="s">
        <v>156</v>
      </c>
      <c r="O33" s="5">
        <v>0</v>
      </c>
      <c r="P33" s="5" t="s">
        <v>27</v>
      </c>
      <c r="Q33" s="5" t="s">
        <v>48</v>
      </c>
      <c r="R33" s="4" t="s">
        <v>29</v>
      </c>
    </row>
    <row r="34" spans="1:18" ht="22.05" customHeight="1" x14ac:dyDescent="0.3">
      <c r="A34" s="2" t="s">
        <v>157</v>
      </c>
      <c r="B34" s="2" t="s">
        <v>158</v>
      </c>
      <c r="C34" s="3" t="s">
        <v>110</v>
      </c>
      <c r="D34" s="2" t="s">
        <v>21</v>
      </c>
      <c r="E34" s="3" t="s">
        <v>22</v>
      </c>
      <c r="F34" s="2" t="s">
        <v>159</v>
      </c>
      <c r="G34" s="3"/>
      <c r="H34" s="3"/>
      <c r="I34" s="3"/>
      <c r="J34" s="2" t="s">
        <v>24</v>
      </c>
      <c r="K34" s="3"/>
      <c r="L34" s="3"/>
      <c r="M34" s="2" t="s">
        <v>46</v>
      </c>
      <c r="N34" s="2" t="s">
        <v>160</v>
      </c>
      <c r="O34" s="3">
        <v>0</v>
      </c>
      <c r="P34" s="3" t="s">
        <v>27</v>
      </c>
      <c r="Q34" s="3" t="s">
        <v>48</v>
      </c>
      <c r="R34" s="2" t="s">
        <v>29</v>
      </c>
    </row>
    <row r="35" spans="1:18" ht="22.05" customHeight="1" x14ac:dyDescent="0.3">
      <c r="A35" s="4" t="s">
        <v>161</v>
      </c>
      <c r="B35" s="4" t="s">
        <v>162</v>
      </c>
      <c r="C35" s="5" t="s">
        <v>163</v>
      </c>
      <c r="D35" s="4" t="s">
        <v>21</v>
      </c>
      <c r="E35" s="5" t="s">
        <v>22</v>
      </c>
      <c r="F35" s="4" t="s">
        <v>164</v>
      </c>
      <c r="G35" s="5"/>
      <c r="H35" s="5"/>
      <c r="I35" s="5"/>
      <c r="J35" s="4" t="s">
        <v>24</v>
      </c>
      <c r="K35" s="5"/>
      <c r="L35" s="5"/>
      <c r="M35" s="4" t="s">
        <v>165</v>
      </c>
      <c r="N35" s="4" t="s">
        <v>166</v>
      </c>
      <c r="O35" s="5">
        <v>0</v>
      </c>
      <c r="P35" s="5" t="s">
        <v>27</v>
      </c>
      <c r="Q35" s="5" t="s">
        <v>48</v>
      </c>
      <c r="R35" s="4" t="s">
        <v>29</v>
      </c>
    </row>
    <row r="36" spans="1:18" ht="22.05" customHeight="1" x14ac:dyDescent="0.3">
      <c r="A36" s="2" t="s">
        <v>167</v>
      </c>
      <c r="B36" s="2" t="s">
        <v>168</v>
      </c>
      <c r="C36" s="3" t="s">
        <v>163</v>
      </c>
      <c r="D36" s="2" t="s">
        <v>21</v>
      </c>
      <c r="E36" s="3" t="s">
        <v>22</v>
      </c>
      <c r="F36" s="2" t="s">
        <v>169</v>
      </c>
      <c r="G36" s="3"/>
      <c r="H36" s="3"/>
      <c r="I36" s="3"/>
      <c r="J36" s="2" t="s">
        <v>24</v>
      </c>
      <c r="K36" s="3"/>
      <c r="L36" s="3"/>
      <c r="M36" s="2" t="s">
        <v>165</v>
      </c>
      <c r="N36" s="2" t="s">
        <v>170</v>
      </c>
      <c r="O36" s="3">
        <v>0</v>
      </c>
      <c r="P36" s="3" t="s">
        <v>27</v>
      </c>
      <c r="Q36" s="3" t="s">
        <v>48</v>
      </c>
      <c r="R36" s="2" t="s">
        <v>29</v>
      </c>
    </row>
    <row r="37" spans="1:18" ht="22.05" customHeight="1" x14ac:dyDescent="0.3">
      <c r="A37" s="4" t="s">
        <v>171</v>
      </c>
      <c r="B37" s="4" t="s">
        <v>172</v>
      </c>
      <c r="C37" s="5" t="s">
        <v>163</v>
      </c>
      <c r="D37" s="4" t="s">
        <v>21</v>
      </c>
      <c r="E37" s="5" t="s">
        <v>22</v>
      </c>
      <c r="F37" s="4" t="s">
        <v>173</v>
      </c>
      <c r="G37" s="5"/>
      <c r="H37" s="5"/>
      <c r="I37" s="5"/>
      <c r="J37" s="4" t="s">
        <v>24</v>
      </c>
      <c r="K37" s="5"/>
      <c r="L37" s="5"/>
      <c r="M37" s="4" t="s">
        <v>165</v>
      </c>
      <c r="N37" s="4" t="s">
        <v>174</v>
      </c>
      <c r="O37" s="5">
        <v>0</v>
      </c>
      <c r="P37" s="5" t="s">
        <v>27</v>
      </c>
      <c r="Q37" s="5" t="s">
        <v>48</v>
      </c>
      <c r="R37" s="4" t="s">
        <v>29</v>
      </c>
    </row>
    <row r="38" spans="1:18" ht="22.05" customHeight="1" x14ac:dyDescent="0.3">
      <c r="A38" s="2" t="s">
        <v>175</v>
      </c>
      <c r="B38" s="2" t="s">
        <v>176</v>
      </c>
      <c r="C38" s="3" t="s">
        <v>163</v>
      </c>
      <c r="D38" s="2" t="s">
        <v>21</v>
      </c>
      <c r="E38" s="3" t="s">
        <v>22</v>
      </c>
      <c r="F38" s="2" t="s">
        <v>177</v>
      </c>
      <c r="G38" s="3"/>
      <c r="H38" s="3"/>
      <c r="I38" s="3"/>
      <c r="J38" s="2" t="s">
        <v>24</v>
      </c>
      <c r="K38" s="3"/>
      <c r="L38" s="3"/>
      <c r="M38" s="2" t="s">
        <v>165</v>
      </c>
      <c r="N38" s="2" t="s">
        <v>174</v>
      </c>
      <c r="O38" s="3">
        <v>0</v>
      </c>
      <c r="P38" s="3" t="s">
        <v>27</v>
      </c>
      <c r="Q38" s="3" t="s">
        <v>48</v>
      </c>
      <c r="R38" s="2" t="s">
        <v>29</v>
      </c>
    </row>
    <row r="39" spans="1:18" ht="22.05" customHeight="1" x14ac:dyDescent="0.3">
      <c r="A39" s="4" t="s">
        <v>180</v>
      </c>
      <c r="B39" s="4" t="s">
        <v>180</v>
      </c>
      <c r="C39" s="5" t="s">
        <v>110</v>
      </c>
      <c r="D39" s="4" t="s">
        <v>181</v>
      </c>
      <c r="E39" s="5" t="s">
        <v>22</v>
      </c>
      <c r="F39" s="4" t="s">
        <v>182</v>
      </c>
      <c r="G39" s="5"/>
      <c r="H39" s="5"/>
      <c r="I39" s="5"/>
      <c r="J39" s="4" t="s">
        <v>24</v>
      </c>
      <c r="K39" s="5"/>
      <c r="L39" s="5"/>
      <c r="M39" s="4" t="s">
        <v>46</v>
      </c>
      <c r="N39" s="4" t="s">
        <v>183</v>
      </c>
      <c r="O39" s="5">
        <v>0</v>
      </c>
      <c r="P39" s="5" t="s">
        <v>27</v>
      </c>
      <c r="Q39" s="5" t="s">
        <v>28</v>
      </c>
      <c r="R39" s="4" t="s">
        <v>29</v>
      </c>
    </row>
    <row r="40" spans="1:18" ht="22.05" customHeight="1" x14ac:dyDescent="0.3">
      <c r="A40" s="2" t="s">
        <v>184</v>
      </c>
      <c r="B40" s="2" t="s">
        <v>44</v>
      </c>
      <c r="C40" s="3" t="s">
        <v>20</v>
      </c>
      <c r="D40" s="2" t="s">
        <v>181</v>
      </c>
      <c r="E40" s="3" t="s">
        <v>22</v>
      </c>
      <c r="F40" s="2" t="s">
        <v>185</v>
      </c>
      <c r="G40" s="3"/>
      <c r="H40" s="3"/>
      <c r="I40" s="3"/>
      <c r="J40" s="2" t="s">
        <v>24</v>
      </c>
      <c r="K40" s="3"/>
      <c r="L40" s="3"/>
      <c r="M40" s="2" t="s">
        <v>72</v>
      </c>
      <c r="N40" s="2" t="s">
        <v>186</v>
      </c>
      <c r="O40" s="3">
        <v>0</v>
      </c>
      <c r="P40" s="3" t="s">
        <v>27</v>
      </c>
      <c r="Q40" s="3" t="s">
        <v>28</v>
      </c>
      <c r="R40" s="2" t="s">
        <v>29</v>
      </c>
    </row>
    <row r="41" spans="1:18" ht="22.05" customHeight="1" x14ac:dyDescent="0.3">
      <c r="A41" s="4" t="s">
        <v>187</v>
      </c>
      <c r="B41" s="4" t="s">
        <v>188</v>
      </c>
      <c r="C41" s="5" t="s">
        <v>20</v>
      </c>
      <c r="D41" s="4" t="s">
        <v>181</v>
      </c>
      <c r="E41" s="5" t="s">
        <v>22</v>
      </c>
      <c r="F41" s="4" t="s">
        <v>189</v>
      </c>
      <c r="G41" s="5"/>
      <c r="H41" s="5"/>
      <c r="I41" s="5"/>
      <c r="J41" s="4" t="s">
        <v>24</v>
      </c>
      <c r="K41" s="5"/>
      <c r="L41" s="5"/>
      <c r="M41" s="4" t="s">
        <v>25</v>
      </c>
      <c r="N41" s="4" t="s">
        <v>190</v>
      </c>
      <c r="O41" s="5">
        <v>0</v>
      </c>
      <c r="P41" s="5" t="s">
        <v>27</v>
      </c>
      <c r="Q41" s="5" t="s">
        <v>48</v>
      </c>
      <c r="R41" s="4" t="s">
        <v>29</v>
      </c>
    </row>
    <row r="42" spans="1:18" ht="22.05" customHeight="1" x14ac:dyDescent="0.3">
      <c r="A42" s="2" t="s">
        <v>191</v>
      </c>
      <c r="B42" s="2" t="s">
        <v>70</v>
      </c>
      <c r="C42" s="3" t="s">
        <v>20</v>
      </c>
      <c r="D42" s="2" t="s">
        <v>181</v>
      </c>
      <c r="E42" s="3" t="s">
        <v>22</v>
      </c>
      <c r="F42" s="2" t="s">
        <v>192</v>
      </c>
      <c r="G42" s="3"/>
      <c r="H42" s="3"/>
      <c r="I42" s="3"/>
      <c r="J42" s="2" t="s">
        <v>24</v>
      </c>
      <c r="K42" s="3"/>
      <c r="L42" s="3"/>
      <c r="M42" s="2" t="s">
        <v>72</v>
      </c>
      <c r="N42" s="2" t="s">
        <v>193</v>
      </c>
      <c r="O42" s="3">
        <v>0</v>
      </c>
      <c r="P42" s="3" t="s">
        <v>27</v>
      </c>
      <c r="Q42" s="3" t="s">
        <v>48</v>
      </c>
      <c r="R42" s="2" t="s">
        <v>29</v>
      </c>
    </row>
    <row r="43" spans="1:18" ht="22.05" customHeight="1" x14ac:dyDescent="0.3">
      <c r="A43" s="4" t="s">
        <v>194</v>
      </c>
      <c r="B43" s="4" t="s">
        <v>195</v>
      </c>
      <c r="C43" s="5" t="s">
        <v>110</v>
      </c>
      <c r="D43" s="4" t="s">
        <v>181</v>
      </c>
      <c r="E43" s="5" t="s">
        <v>22</v>
      </c>
      <c r="F43" s="4" t="s">
        <v>196</v>
      </c>
      <c r="G43" s="5"/>
      <c r="H43" s="5"/>
      <c r="I43" s="5"/>
      <c r="J43" s="4" t="s">
        <v>24</v>
      </c>
      <c r="K43" s="5"/>
      <c r="L43" s="5"/>
      <c r="M43" s="4" t="s">
        <v>46</v>
      </c>
      <c r="N43" s="4" t="s">
        <v>197</v>
      </c>
      <c r="O43" s="5">
        <v>0</v>
      </c>
      <c r="P43" s="5" t="s">
        <v>27</v>
      </c>
      <c r="Q43" s="5" t="s">
        <v>48</v>
      </c>
      <c r="R43" s="4" t="s">
        <v>29</v>
      </c>
    </row>
    <row r="44" spans="1:18" ht="22.05" customHeight="1" x14ac:dyDescent="0.3">
      <c r="A44" s="2" t="s">
        <v>198</v>
      </c>
      <c r="B44" s="2" t="s">
        <v>129</v>
      </c>
      <c r="C44" s="3" t="s">
        <v>110</v>
      </c>
      <c r="D44" s="2" t="s">
        <v>181</v>
      </c>
      <c r="E44" s="3" t="s">
        <v>22</v>
      </c>
      <c r="F44" s="2" t="s">
        <v>199</v>
      </c>
      <c r="G44" s="3"/>
      <c r="H44" s="3"/>
      <c r="I44" s="3"/>
      <c r="J44" s="2" t="s">
        <v>24</v>
      </c>
      <c r="K44" s="3"/>
      <c r="L44" s="3"/>
      <c r="M44" s="2" t="s">
        <v>25</v>
      </c>
      <c r="N44" s="2" t="s">
        <v>131</v>
      </c>
      <c r="O44" s="3">
        <v>0</v>
      </c>
      <c r="P44" s="3" t="s">
        <v>27</v>
      </c>
      <c r="Q44" s="3" t="s">
        <v>48</v>
      </c>
      <c r="R44" s="2" t="s">
        <v>29</v>
      </c>
    </row>
    <row r="45" spans="1:18" ht="22.05" customHeight="1" x14ac:dyDescent="0.3">
      <c r="A45" s="4" t="s">
        <v>202</v>
      </c>
      <c r="B45" s="4" t="s">
        <v>203</v>
      </c>
      <c r="C45" s="5" t="s">
        <v>20</v>
      </c>
      <c r="D45" s="4" t="s">
        <v>21</v>
      </c>
      <c r="E45" s="5" t="s">
        <v>22</v>
      </c>
      <c r="F45" s="4" t="s">
        <v>204</v>
      </c>
      <c r="G45" s="5"/>
      <c r="H45" s="5"/>
      <c r="I45" s="5"/>
      <c r="J45" s="4" t="s">
        <v>24</v>
      </c>
      <c r="K45" s="5"/>
      <c r="L45" s="5"/>
      <c r="M45" s="4" t="s">
        <v>25</v>
      </c>
      <c r="N45" s="4" t="s">
        <v>205</v>
      </c>
      <c r="O45" s="5">
        <v>0</v>
      </c>
      <c r="P45" s="5" t="s">
        <v>27</v>
      </c>
      <c r="Q45" s="5" t="s">
        <v>48</v>
      </c>
      <c r="R45" s="4" t="s">
        <v>29</v>
      </c>
    </row>
    <row r="46" spans="1:18" ht="22.05" customHeight="1" x14ac:dyDescent="0.3">
      <c r="A46" s="2" t="s">
        <v>206</v>
      </c>
      <c r="B46" s="2" t="s">
        <v>207</v>
      </c>
      <c r="C46" s="3" t="s">
        <v>20</v>
      </c>
      <c r="D46" s="2" t="s">
        <v>21</v>
      </c>
      <c r="E46" s="3" t="s">
        <v>22</v>
      </c>
      <c r="F46" s="2" t="s">
        <v>208</v>
      </c>
      <c r="G46" s="3"/>
      <c r="H46" s="3"/>
      <c r="I46" s="3"/>
      <c r="J46" s="2" t="s">
        <v>24</v>
      </c>
      <c r="K46" s="3"/>
      <c r="L46" s="3"/>
      <c r="M46" s="2" t="s">
        <v>41</v>
      </c>
      <c r="N46" s="2" t="s">
        <v>209</v>
      </c>
      <c r="O46" s="3">
        <v>0</v>
      </c>
      <c r="P46" s="3" t="s">
        <v>210</v>
      </c>
      <c r="Q46" s="3" t="s">
        <v>48</v>
      </c>
      <c r="R46" s="2" t="s">
        <v>29</v>
      </c>
    </row>
    <row r="47" spans="1:18" ht="22.05" customHeight="1" x14ac:dyDescent="0.3">
      <c r="A47" s="2" t="s">
        <v>211</v>
      </c>
      <c r="B47" s="2" t="s">
        <v>212</v>
      </c>
      <c r="C47" s="3" t="s">
        <v>20</v>
      </c>
      <c r="D47" s="2" t="s">
        <v>21</v>
      </c>
      <c r="E47" s="3" t="s">
        <v>22</v>
      </c>
      <c r="F47" s="2" t="s">
        <v>213</v>
      </c>
      <c r="G47" s="3"/>
      <c r="H47" s="3"/>
      <c r="I47" s="3"/>
      <c r="J47" s="2" t="s">
        <v>24</v>
      </c>
      <c r="K47" s="3"/>
      <c r="L47" s="3"/>
      <c r="M47" s="2" t="s">
        <v>63</v>
      </c>
      <c r="N47" s="2" t="s">
        <v>214</v>
      </c>
      <c r="O47" s="3">
        <v>0</v>
      </c>
      <c r="P47" s="3" t="s">
        <v>27</v>
      </c>
      <c r="Q47" s="3" t="s">
        <v>48</v>
      </c>
      <c r="R47" s="2" t="s">
        <v>29</v>
      </c>
    </row>
    <row r="48" spans="1:18" ht="22.05" customHeight="1" x14ac:dyDescent="0.3">
      <c r="A48" s="2" t="s">
        <v>221</v>
      </c>
      <c r="B48" s="2" t="s">
        <v>222</v>
      </c>
      <c r="C48" s="3" t="s">
        <v>20</v>
      </c>
      <c r="D48" s="2" t="s">
        <v>21</v>
      </c>
      <c r="E48" s="3" t="s">
        <v>22</v>
      </c>
      <c r="F48" s="2" t="s">
        <v>223</v>
      </c>
      <c r="G48" s="3"/>
      <c r="H48" s="3"/>
      <c r="I48" s="3"/>
      <c r="J48" s="2" t="s">
        <v>24</v>
      </c>
      <c r="K48" s="3"/>
      <c r="L48" s="3"/>
      <c r="M48" s="2" t="s">
        <v>41</v>
      </c>
      <c r="N48" s="2" t="s">
        <v>224</v>
      </c>
      <c r="O48" s="3">
        <v>0</v>
      </c>
      <c r="P48" s="3" t="s">
        <v>27</v>
      </c>
      <c r="Q48" s="3" t="s">
        <v>28</v>
      </c>
      <c r="R48" s="2" t="s">
        <v>29</v>
      </c>
    </row>
    <row r="49" spans="1:18" ht="22.05" customHeight="1" x14ac:dyDescent="0.3">
      <c r="A49" s="4" t="s">
        <v>225</v>
      </c>
      <c r="B49" s="4" t="s">
        <v>226</v>
      </c>
      <c r="C49" s="5" t="s">
        <v>20</v>
      </c>
      <c r="D49" s="4" t="s">
        <v>21</v>
      </c>
      <c r="E49" s="5" t="s">
        <v>22</v>
      </c>
      <c r="F49" s="4" t="s">
        <v>227</v>
      </c>
      <c r="G49" s="5"/>
      <c r="H49" s="5"/>
      <c r="I49" s="5"/>
      <c r="J49" s="4" t="s">
        <v>24</v>
      </c>
      <c r="K49" s="5"/>
      <c r="L49" s="5"/>
      <c r="M49" s="4" t="s">
        <v>41</v>
      </c>
      <c r="N49" s="4" t="s">
        <v>228</v>
      </c>
      <c r="O49" s="5">
        <v>0</v>
      </c>
      <c r="P49" s="5" t="s">
        <v>27</v>
      </c>
      <c r="Q49" s="5" t="s">
        <v>28</v>
      </c>
      <c r="R49" s="4" t="s">
        <v>29</v>
      </c>
    </row>
    <row r="50" spans="1:18" ht="22.05" customHeight="1" x14ac:dyDescent="0.3">
      <c r="A50" s="2" t="s">
        <v>229</v>
      </c>
      <c r="B50" s="2" t="s">
        <v>230</v>
      </c>
      <c r="C50" s="3" t="s">
        <v>20</v>
      </c>
      <c r="D50" s="2" t="s">
        <v>181</v>
      </c>
      <c r="E50" s="3" t="s">
        <v>22</v>
      </c>
      <c r="F50" s="2" t="s">
        <v>231</v>
      </c>
      <c r="G50" s="3"/>
      <c r="H50" s="3"/>
      <c r="I50" s="3"/>
      <c r="J50" s="2" t="s">
        <v>24</v>
      </c>
      <c r="K50" s="3"/>
      <c r="L50" s="3"/>
      <c r="M50" s="2" t="s">
        <v>179</v>
      </c>
      <c r="N50" s="2" t="s">
        <v>232</v>
      </c>
      <c r="O50" s="3">
        <v>0</v>
      </c>
      <c r="P50" s="3" t="s">
        <v>27</v>
      </c>
      <c r="Q50" s="3" t="s">
        <v>48</v>
      </c>
      <c r="R50" s="2" t="s">
        <v>29</v>
      </c>
    </row>
    <row r="51" spans="1:18" ht="22.05" customHeight="1" x14ac:dyDescent="0.3">
      <c r="A51" s="4" t="s">
        <v>233</v>
      </c>
      <c r="B51" s="4" t="s">
        <v>234</v>
      </c>
      <c r="C51" s="5" t="s">
        <v>20</v>
      </c>
      <c r="D51" s="4" t="s">
        <v>21</v>
      </c>
      <c r="E51" s="5" t="s">
        <v>22</v>
      </c>
      <c r="F51" s="4" t="s">
        <v>235</v>
      </c>
      <c r="G51" s="5"/>
      <c r="H51" s="5"/>
      <c r="I51" s="5"/>
      <c r="J51" s="4" t="s">
        <v>24</v>
      </c>
      <c r="K51" s="5"/>
      <c r="L51" s="5"/>
      <c r="M51" s="4" t="s">
        <v>147</v>
      </c>
      <c r="N51" s="4" t="s">
        <v>236</v>
      </c>
      <c r="O51" s="5">
        <v>0</v>
      </c>
      <c r="P51" s="5" t="s">
        <v>27</v>
      </c>
      <c r="Q51" s="5" t="s">
        <v>28</v>
      </c>
      <c r="R51" s="4" t="s">
        <v>29</v>
      </c>
    </row>
    <row r="52" spans="1:18" ht="22.05" customHeight="1" x14ac:dyDescent="0.3">
      <c r="A52" s="2" t="s">
        <v>233</v>
      </c>
      <c r="B52" s="2" t="s">
        <v>234</v>
      </c>
      <c r="C52" s="3" t="s">
        <v>20</v>
      </c>
      <c r="D52" s="2" t="s">
        <v>181</v>
      </c>
      <c r="E52" s="3" t="s">
        <v>22</v>
      </c>
      <c r="F52" s="2" t="s">
        <v>237</v>
      </c>
      <c r="G52" s="3"/>
      <c r="H52" s="3"/>
      <c r="I52" s="3"/>
      <c r="J52" s="2" t="s">
        <v>24</v>
      </c>
      <c r="K52" s="3"/>
      <c r="L52" s="3"/>
      <c r="M52" s="2" t="s">
        <v>25</v>
      </c>
      <c r="N52" s="2" t="s">
        <v>238</v>
      </c>
      <c r="O52" s="3">
        <v>0</v>
      </c>
      <c r="P52" s="3" t="s">
        <v>27</v>
      </c>
      <c r="Q52" s="3" t="s">
        <v>28</v>
      </c>
      <c r="R52" s="2" t="s">
        <v>29</v>
      </c>
    </row>
    <row r="53" spans="1:18" ht="22.05" customHeight="1" x14ac:dyDescent="0.3">
      <c r="A53" s="4" t="s">
        <v>239</v>
      </c>
      <c r="B53" s="4" t="s">
        <v>240</v>
      </c>
      <c r="C53" s="5" t="s">
        <v>20</v>
      </c>
      <c r="D53" s="4" t="s">
        <v>181</v>
      </c>
      <c r="E53" s="5" t="s">
        <v>22</v>
      </c>
      <c r="F53" s="4" t="s">
        <v>241</v>
      </c>
      <c r="G53" s="5"/>
      <c r="H53" s="5"/>
      <c r="I53" s="5"/>
      <c r="J53" s="4" t="s">
        <v>24</v>
      </c>
      <c r="K53" s="5"/>
      <c r="L53" s="5"/>
      <c r="M53" s="4" t="s">
        <v>179</v>
      </c>
      <c r="N53" s="4" t="s">
        <v>242</v>
      </c>
      <c r="O53" s="5">
        <v>0</v>
      </c>
      <c r="P53" s="5" t="s">
        <v>27</v>
      </c>
      <c r="Q53" s="5" t="s">
        <v>28</v>
      </c>
      <c r="R53" s="4" t="s">
        <v>29</v>
      </c>
    </row>
    <row r="54" spans="1:18" ht="22.05" customHeight="1" x14ac:dyDescent="0.3">
      <c r="A54" s="4" t="s">
        <v>243</v>
      </c>
      <c r="B54" s="4" t="s">
        <v>244</v>
      </c>
      <c r="C54" s="5" t="s">
        <v>20</v>
      </c>
      <c r="D54" s="4" t="s">
        <v>21</v>
      </c>
      <c r="E54" s="5" t="s">
        <v>22</v>
      </c>
      <c r="F54" s="4" t="s">
        <v>245</v>
      </c>
      <c r="G54" s="5"/>
      <c r="H54" s="5"/>
      <c r="I54" s="5"/>
      <c r="J54" s="4" t="s">
        <v>24</v>
      </c>
      <c r="K54" s="5"/>
      <c r="L54" s="5"/>
      <c r="M54" s="4" t="s">
        <v>25</v>
      </c>
      <c r="N54" s="4" t="s">
        <v>246</v>
      </c>
      <c r="O54" s="5">
        <v>0</v>
      </c>
      <c r="P54" s="5" t="s">
        <v>27</v>
      </c>
      <c r="Q54" s="5" t="s">
        <v>48</v>
      </c>
      <c r="R54" s="4" t="s">
        <v>29</v>
      </c>
    </row>
    <row r="55" spans="1:18" ht="22.05" customHeight="1" x14ac:dyDescent="0.3">
      <c r="A55" s="2" t="s">
        <v>248</v>
      </c>
      <c r="B55" s="2" t="s">
        <v>249</v>
      </c>
      <c r="C55" s="3" t="s">
        <v>247</v>
      </c>
      <c r="D55" s="2" t="s">
        <v>21</v>
      </c>
      <c r="E55" s="3" t="s">
        <v>22</v>
      </c>
      <c r="F55" s="2" t="s">
        <v>250</v>
      </c>
      <c r="G55" s="3"/>
      <c r="H55" s="3"/>
      <c r="I55" s="3"/>
      <c r="J55" s="2" t="s">
        <v>24</v>
      </c>
      <c r="K55" s="3"/>
      <c r="L55" s="3"/>
      <c r="M55" s="2" t="s">
        <v>147</v>
      </c>
      <c r="N55" s="2" t="s">
        <v>251</v>
      </c>
      <c r="O55" s="3">
        <v>0</v>
      </c>
      <c r="P55" s="3" t="s">
        <v>27</v>
      </c>
      <c r="Q55" s="3" t="s">
        <v>28</v>
      </c>
      <c r="R55" s="2" t="s">
        <v>29</v>
      </c>
    </row>
    <row r="56" spans="1:18" ht="22.05" customHeight="1" x14ac:dyDescent="0.3">
      <c r="A56" s="2" t="s">
        <v>252</v>
      </c>
      <c r="B56" s="2" t="s">
        <v>253</v>
      </c>
      <c r="C56" s="3" t="s">
        <v>254</v>
      </c>
      <c r="D56" s="2" t="s">
        <v>21</v>
      </c>
      <c r="E56" s="3" t="s">
        <v>22</v>
      </c>
      <c r="F56" s="2" t="s">
        <v>255</v>
      </c>
      <c r="G56" s="3"/>
      <c r="H56" s="3"/>
      <c r="I56" s="3"/>
      <c r="J56" s="2" t="s">
        <v>24</v>
      </c>
      <c r="K56" s="3"/>
      <c r="L56" s="3"/>
      <c r="M56" s="2" t="s">
        <v>147</v>
      </c>
      <c r="N56" s="2" t="s">
        <v>256</v>
      </c>
      <c r="O56" s="3">
        <v>0</v>
      </c>
      <c r="P56" s="3" t="s">
        <v>27</v>
      </c>
      <c r="Q56" s="3" t="s">
        <v>28</v>
      </c>
      <c r="R56" s="2" t="s">
        <v>29</v>
      </c>
    </row>
    <row r="57" spans="1:18" ht="22.05" customHeight="1" x14ac:dyDescent="0.3">
      <c r="A57" s="4" t="s">
        <v>257</v>
      </c>
      <c r="B57" s="4" t="s">
        <v>258</v>
      </c>
      <c r="C57" s="5" t="s">
        <v>254</v>
      </c>
      <c r="D57" s="4" t="s">
        <v>21</v>
      </c>
      <c r="E57" s="5" t="s">
        <v>22</v>
      </c>
      <c r="F57" s="4" t="s">
        <v>259</v>
      </c>
      <c r="G57" s="5"/>
      <c r="H57" s="5"/>
      <c r="I57" s="5"/>
      <c r="J57" s="4" t="s">
        <v>24</v>
      </c>
      <c r="K57" s="5"/>
      <c r="L57" s="5"/>
      <c r="M57" s="4" t="s">
        <v>147</v>
      </c>
      <c r="N57" s="4" t="s">
        <v>260</v>
      </c>
      <c r="O57" s="5">
        <v>0</v>
      </c>
      <c r="P57" s="5" t="s">
        <v>27</v>
      </c>
      <c r="Q57" s="5" t="s">
        <v>28</v>
      </c>
      <c r="R57" s="4" t="s">
        <v>29</v>
      </c>
    </row>
    <row r="58" spans="1:18" ht="22.05" customHeight="1" x14ac:dyDescent="0.3">
      <c r="A58" s="2" t="s">
        <v>261</v>
      </c>
      <c r="B58" s="2" t="s">
        <v>262</v>
      </c>
      <c r="C58" s="3" t="s">
        <v>254</v>
      </c>
      <c r="D58" s="2" t="s">
        <v>181</v>
      </c>
      <c r="E58" s="3" t="s">
        <v>22</v>
      </c>
      <c r="F58" s="2" t="s">
        <v>263</v>
      </c>
      <c r="G58" s="3"/>
      <c r="H58" s="3"/>
      <c r="I58" s="3"/>
      <c r="J58" s="2" t="s">
        <v>24</v>
      </c>
      <c r="K58" s="3"/>
      <c r="L58" s="3"/>
      <c r="M58" s="2" t="s">
        <v>25</v>
      </c>
      <c r="N58" s="2" t="s">
        <v>264</v>
      </c>
      <c r="O58" s="3">
        <v>0</v>
      </c>
      <c r="P58" s="3" t="s">
        <v>27</v>
      </c>
      <c r="Q58" s="3" t="s">
        <v>28</v>
      </c>
      <c r="R58" s="2" t="s">
        <v>29</v>
      </c>
    </row>
    <row r="59" spans="1:18" ht="22.05" customHeight="1" x14ac:dyDescent="0.3">
      <c r="A59" s="4" t="s">
        <v>265</v>
      </c>
      <c r="B59" s="4" t="s">
        <v>266</v>
      </c>
      <c r="C59" s="5" t="s">
        <v>254</v>
      </c>
      <c r="D59" s="4" t="s">
        <v>21</v>
      </c>
      <c r="E59" s="5" t="s">
        <v>22</v>
      </c>
      <c r="F59" s="4" t="s">
        <v>267</v>
      </c>
      <c r="G59" s="5"/>
      <c r="H59" s="5"/>
      <c r="I59" s="5"/>
      <c r="J59" s="4" t="s">
        <v>24</v>
      </c>
      <c r="K59" s="5"/>
      <c r="L59" s="5"/>
      <c r="M59" s="4" t="s">
        <v>46</v>
      </c>
      <c r="N59" s="4" t="s">
        <v>268</v>
      </c>
      <c r="O59" s="5">
        <v>0</v>
      </c>
      <c r="P59" s="5" t="s">
        <v>27</v>
      </c>
      <c r="Q59" s="5" t="s">
        <v>48</v>
      </c>
      <c r="R59" s="4" t="s">
        <v>29</v>
      </c>
    </row>
  </sheetData>
  <autoFilter ref="A1:R59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6"/>
  <sheetViews>
    <sheetView workbookViewId="0">
      <pane ySplit="4" topLeftCell="A5" activePane="bottomLeft" state="frozen"/>
      <selection pane="bottomLeft"/>
    </sheetView>
  </sheetViews>
  <sheetFormatPr defaultRowHeight="14.4" x14ac:dyDescent="0.3"/>
  <cols>
    <col min="1" max="1" width="6" customWidth="1"/>
    <col min="2" max="2" width="20" customWidth="1"/>
    <col min="3" max="8" width="18" customWidth="1"/>
  </cols>
  <sheetData>
    <row r="1" spans="1:8" ht="30" customHeight="1" x14ac:dyDescent="0.3">
      <c r="A1" s="13" t="s">
        <v>269</v>
      </c>
      <c r="B1" s="10"/>
      <c r="C1" s="10"/>
      <c r="D1" s="10"/>
      <c r="E1" s="10"/>
      <c r="F1" s="10"/>
      <c r="G1" s="10"/>
    </row>
    <row r="2" spans="1:8" ht="19.95" customHeight="1" x14ac:dyDescent="0.3">
      <c r="A2" s="9" t="s">
        <v>270</v>
      </c>
      <c r="B2" s="10"/>
      <c r="C2" s="10"/>
      <c r="D2" s="10"/>
      <c r="E2" s="10"/>
      <c r="F2" s="10"/>
      <c r="G2" s="10"/>
    </row>
    <row r="4" spans="1:8" ht="25.95" customHeight="1" x14ac:dyDescent="0.3">
      <c r="A4" s="1" t="s">
        <v>271</v>
      </c>
      <c r="B4" s="1" t="s">
        <v>272</v>
      </c>
      <c r="C4" s="1" t="s">
        <v>273</v>
      </c>
      <c r="D4" s="1" t="s">
        <v>274</v>
      </c>
      <c r="E4" s="1" t="s">
        <v>275</v>
      </c>
      <c r="F4" s="1" t="s">
        <v>276</v>
      </c>
      <c r="G4" s="1" t="s">
        <v>277</v>
      </c>
      <c r="H4" s="1" t="s">
        <v>278</v>
      </c>
    </row>
    <row r="5" spans="1:8" ht="22.05" customHeight="1" x14ac:dyDescent="0.3">
      <c r="A5" s="5">
        <v>1</v>
      </c>
      <c r="B5" s="4" t="s">
        <v>215</v>
      </c>
      <c r="C5" s="5">
        <v>2</v>
      </c>
      <c r="D5" s="5">
        <v>2</v>
      </c>
      <c r="E5" s="5">
        <v>0</v>
      </c>
      <c r="F5" s="5">
        <v>1</v>
      </c>
      <c r="G5" s="5">
        <v>0</v>
      </c>
      <c r="H5" s="6">
        <f t="shared" ref="H5:H15" si="0">SUM(C5:G5)</f>
        <v>5</v>
      </c>
    </row>
    <row r="6" spans="1:8" ht="22.05" customHeight="1" x14ac:dyDescent="0.3">
      <c r="A6" s="3">
        <v>2</v>
      </c>
      <c r="B6" s="2" t="s">
        <v>178</v>
      </c>
      <c r="C6" s="3">
        <v>5</v>
      </c>
      <c r="D6" s="3">
        <v>3</v>
      </c>
      <c r="E6" s="3">
        <v>0</v>
      </c>
      <c r="F6" s="3">
        <v>1</v>
      </c>
      <c r="G6" s="3">
        <v>0</v>
      </c>
      <c r="H6" s="7">
        <f t="shared" si="0"/>
        <v>9</v>
      </c>
    </row>
    <row r="7" spans="1:8" ht="22.05" customHeight="1" x14ac:dyDescent="0.3">
      <c r="A7" s="5">
        <v>3</v>
      </c>
      <c r="B7" s="4" t="s">
        <v>181</v>
      </c>
      <c r="C7" s="5">
        <v>6</v>
      </c>
      <c r="D7" s="5">
        <v>3</v>
      </c>
      <c r="E7" s="5">
        <v>0</v>
      </c>
      <c r="F7" s="5">
        <v>0</v>
      </c>
      <c r="G7" s="5">
        <v>1</v>
      </c>
      <c r="H7" s="6">
        <f t="shared" si="0"/>
        <v>10</v>
      </c>
    </row>
    <row r="8" spans="1:8" ht="22.05" customHeight="1" x14ac:dyDescent="0.3">
      <c r="A8" s="3">
        <v>4</v>
      </c>
      <c r="B8" s="2" t="s">
        <v>201</v>
      </c>
      <c r="C8" s="3">
        <v>9</v>
      </c>
      <c r="D8" s="3">
        <v>1</v>
      </c>
      <c r="E8" s="3">
        <v>0</v>
      </c>
      <c r="F8" s="3">
        <v>1</v>
      </c>
      <c r="G8" s="3">
        <v>0</v>
      </c>
      <c r="H8" s="7">
        <f t="shared" si="0"/>
        <v>11</v>
      </c>
    </row>
    <row r="9" spans="1:8" ht="22.05" customHeight="1" x14ac:dyDescent="0.3">
      <c r="A9" s="5">
        <v>5</v>
      </c>
      <c r="B9" s="4" t="s">
        <v>218</v>
      </c>
      <c r="C9" s="5">
        <v>3</v>
      </c>
      <c r="D9" s="5">
        <v>2</v>
      </c>
      <c r="E9" s="5">
        <v>0</v>
      </c>
      <c r="F9" s="5">
        <v>0</v>
      </c>
      <c r="G9" s="5">
        <v>0</v>
      </c>
      <c r="H9" s="6">
        <f t="shared" si="0"/>
        <v>5</v>
      </c>
    </row>
    <row r="10" spans="1:8" ht="22.05" customHeight="1" x14ac:dyDescent="0.3">
      <c r="A10" s="3">
        <v>6</v>
      </c>
      <c r="B10" s="2" t="s">
        <v>216</v>
      </c>
      <c r="C10" s="3">
        <v>2</v>
      </c>
      <c r="D10" s="3">
        <v>1</v>
      </c>
      <c r="E10" s="3">
        <v>0</v>
      </c>
      <c r="F10" s="3">
        <v>0</v>
      </c>
      <c r="G10" s="3">
        <v>0</v>
      </c>
      <c r="H10" s="7">
        <f t="shared" si="0"/>
        <v>3</v>
      </c>
    </row>
    <row r="11" spans="1:8" ht="22.05" customHeight="1" x14ac:dyDescent="0.3">
      <c r="A11" s="5">
        <v>7</v>
      </c>
      <c r="B11" s="4" t="s">
        <v>220</v>
      </c>
      <c r="C11" s="5">
        <v>2</v>
      </c>
      <c r="D11" s="5">
        <v>1</v>
      </c>
      <c r="E11" s="5">
        <v>0</v>
      </c>
      <c r="F11" s="5">
        <v>1</v>
      </c>
      <c r="G11" s="5">
        <v>0</v>
      </c>
      <c r="H11" s="6">
        <f t="shared" si="0"/>
        <v>4</v>
      </c>
    </row>
    <row r="12" spans="1:8" ht="22.05" customHeight="1" x14ac:dyDescent="0.3">
      <c r="A12" s="3">
        <v>8</v>
      </c>
      <c r="B12" s="2" t="s">
        <v>200</v>
      </c>
      <c r="C12" s="3">
        <v>2</v>
      </c>
      <c r="D12" s="3">
        <v>2</v>
      </c>
      <c r="E12" s="3">
        <v>0</v>
      </c>
      <c r="F12" s="3">
        <v>0</v>
      </c>
      <c r="G12" s="3">
        <v>0</v>
      </c>
      <c r="H12" s="7">
        <f t="shared" si="0"/>
        <v>4</v>
      </c>
    </row>
    <row r="13" spans="1:8" ht="22.05" customHeight="1" x14ac:dyDescent="0.3">
      <c r="A13" s="5">
        <v>9</v>
      </c>
      <c r="B13" s="4" t="s">
        <v>21</v>
      </c>
      <c r="C13" s="5">
        <v>27</v>
      </c>
      <c r="D13" s="5">
        <v>13</v>
      </c>
      <c r="E13" s="5">
        <v>4</v>
      </c>
      <c r="F13" s="5">
        <v>1</v>
      </c>
      <c r="G13" s="5">
        <v>3</v>
      </c>
      <c r="H13" s="6">
        <f t="shared" si="0"/>
        <v>48</v>
      </c>
    </row>
    <row r="14" spans="1:8" ht="22.05" customHeight="1" x14ac:dyDescent="0.3">
      <c r="A14" s="3">
        <v>10</v>
      </c>
      <c r="B14" s="2" t="s">
        <v>219</v>
      </c>
      <c r="C14" s="3">
        <v>2</v>
      </c>
      <c r="D14" s="3">
        <v>1</v>
      </c>
      <c r="E14" s="3">
        <v>0</v>
      </c>
      <c r="F14" s="3">
        <v>0</v>
      </c>
      <c r="G14" s="3">
        <v>0</v>
      </c>
      <c r="H14" s="7">
        <f t="shared" si="0"/>
        <v>3</v>
      </c>
    </row>
    <row r="15" spans="1:8" ht="22.05" customHeight="1" x14ac:dyDescent="0.3">
      <c r="A15" s="5">
        <v>11</v>
      </c>
      <c r="B15" s="4" t="s">
        <v>217</v>
      </c>
      <c r="C15" s="5">
        <v>0</v>
      </c>
      <c r="D15" s="5">
        <v>2</v>
      </c>
      <c r="E15" s="5">
        <v>0</v>
      </c>
      <c r="F15" s="5">
        <v>0</v>
      </c>
      <c r="G15" s="5">
        <v>0</v>
      </c>
      <c r="H15" s="6">
        <f t="shared" si="0"/>
        <v>2</v>
      </c>
    </row>
    <row r="16" spans="1:8" ht="24" customHeight="1" x14ac:dyDescent="0.3">
      <c r="A16" s="11" t="s">
        <v>279</v>
      </c>
      <c r="B16" s="12"/>
      <c r="C16" s="8">
        <f t="shared" ref="C16:H16" si="1">SUM(C5:C15)</f>
        <v>60</v>
      </c>
      <c r="D16" s="8">
        <f t="shared" si="1"/>
        <v>31</v>
      </c>
      <c r="E16" s="8">
        <f t="shared" si="1"/>
        <v>4</v>
      </c>
      <c r="F16" s="8">
        <f t="shared" si="1"/>
        <v>5</v>
      </c>
      <c r="G16" s="8">
        <f t="shared" si="1"/>
        <v>4</v>
      </c>
      <c r="H16" s="8">
        <f t="shared" si="1"/>
        <v>104</v>
      </c>
    </row>
  </sheetData>
  <mergeCells count="3">
    <mergeCell ref="A2:G2"/>
    <mergeCell ref="A16:B16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 Import</vt:lpstr>
      <vt:lpstr>Ringkasan Komoditas &amp; Gangguan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nanangpx</cp:lastModifiedBy>
  <dcterms:created xsi:type="dcterms:W3CDTF">2026-08-24T07:51:16Z</dcterms:created>
  <dcterms:modified xsi:type="dcterms:W3CDTF">2026-08-24T07:55:36Z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2026-08-24T07:55:35Z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043465f2-fd22-45f8-9f39-6b031b722d56</vt:lpwstr>
  </property>
  <property fmtid="{D5CDD505-2E9C-101B-9397-08002B2CF9AE}" pid="7" name="MSIP_Label_defa4170-0d19-0005-0004-bc88714345d2_ActionId">
    <vt:lpwstr>114f1af4-25f2-4da6-9c28-903eca6f4c95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